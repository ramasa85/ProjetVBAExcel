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p\Desktop\Economie\mastter-audit\semestre1\algo-complexite\VBA\Projet_VBA\"/>
    </mc:Choice>
  </mc:AlternateContent>
  <bookViews>
    <workbookView xWindow="0" yWindow="0" windowWidth="20490" windowHeight="7155" firstSheet="3" activeTab="6"/>
  </bookViews>
  <sheets>
    <sheet name="A" sheetId="1" r:id="rId1"/>
    <sheet name="B" sheetId="2" r:id="rId2"/>
    <sheet name="C" sheetId="3" r:id="rId3"/>
    <sheet name="D" sheetId="4" r:id="rId4"/>
    <sheet name="E" sheetId="5" r:id="rId5"/>
    <sheet name="Zone" sheetId="7" r:id="rId6"/>
    <sheet name="Heatmap " sheetId="6" r:id="rId7"/>
    <sheet name="dossiers acceptés" sheetId="10" r:id="rId8"/>
    <sheet name="rejetés" sheetId="11" r:id="rId9"/>
    <sheet name="incertitude" sheetId="12" r:id="rId10"/>
    <sheet name="Diagramme circulaire" sheetId="15" r:id="rId11"/>
    <sheet name="solver" sheetId="16" r:id="rId12"/>
    <sheet name="Feuil6" sheetId="17" r:id="rId13"/>
  </sheets>
  <functionGroups builtInGroupCount="18"/>
  <definedNames>
    <definedName name="_xlnm._FilterDatabase" localSheetId="7" hidden="1">'dossiers acceptés'!$A$1:$E$21</definedName>
    <definedName name="_xlnm._FilterDatabase" localSheetId="9" hidden="1">incertitude!$A$1:$E$21</definedName>
    <definedName name="_xlnm._FilterDatabase" localSheetId="8" hidden="1">rejetés!$A$1:$E$21</definedName>
    <definedName name="solver_adj" localSheetId="11" hidden="1">solver!$A$2</definedName>
    <definedName name="solver_cvg" localSheetId="11" hidden="1">0.0001</definedName>
    <definedName name="solver_drv" localSheetId="11" hidden="1">2</definedName>
    <definedName name="solver_eng" localSheetId="11" hidden="1">1</definedName>
    <definedName name="solver_est" localSheetId="11" hidden="1">1</definedName>
    <definedName name="solver_itr" localSheetId="11" hidden="1">2147483647</definedName>
    <definedName name="solver_mip" localSheetId="11" hidden="1">2147483647</definedName>
    <definedName name="solver_mni" localSheetId="11" hidden="1">30</definedName>
    <definedName name="solver_mrt" localSheetId="11" hidden="1">0.075</definedName>
    <definedName name="solver_msl" localSheetId="11" hidden="1">2</definedName>
    <definedName name="solver_neg" localSheetId="11" hidden="1">1</definedName>
    <definedName name="solver_nod" localSheetId="11" hidden="1">2147483647</definedName>
    <definedName name="solver_num" localSheetId="11" hidden="1">0</definedName>
    <definedName name="solver_nwt" localSheetId="11" hidden="1">1</definedName>
    <definedName name="solver_opt" localSheetId="11" hidden="1">solver!$G$16</definedName>
    <definedName name="solver_pre" localSheetId="11" hidden="1">0.000001</definedName>
    <definedName name="solver_rbv" localSheetId="11" hidden="1">2</definedName>
    <definedName name="solver_rlx" localSheetId="11" hidden="1">2</definedName>
    <definedName name="solver_rsd" localSheetId="11" hidden="1">0</definedName>
    <definedName name="solver_scl" localSheetId="11" hidden="1">2</definedName>
    <definedName name="solver_sho" localSheetId="11" hidden="1">2</definedName>
    <definedName name="solver_ssz" localSheetId="11" hidden="1">100</definedName>
    <definedName name="solver_tim" localSheetId="11" hidden="1">2147483647</definedName>
    <definedName name="solver_tol" localSheetId="11" hidden="1">0.01</definedName>
    <definedName name="solver_typ" localSheetId="11" hidden="1">1</definedName>
    <definedName name="solver_val" localSheetId="11" hidden="1">0</definedName>
    <definedName name="solver_ver" localSheetId="11" hidden="1">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6" l="1"/>
  <c r="B3" i="16"/>
  <c r="C3" i="16"/>
  <c r="D3" i="16"/>
  <c r="E3" i="16"/>
  <c r="F3" i="16"/>
  <c r="G3" i="16"/>
  <c r="B2" i="16" l="1"/>
  <c r="D2" i="16"/>
  <c r="E2" i="16"/>
  <c r="F2" i="16"/>
  <c r="G2" i="16"/>
  <c r="A1" i="16"/>
  <c r="B1" i="16"/>
  <c r="C1" i="16"/>
  <c r="D1" i="16"/>
  <c r="E1" i="16"/>
  <c r="F1" i="16"/>
  <c r="G1" i="16"/>
  <c r="E21" i="12"/>
  <c r="D21" i="12"/>
  <c r="C21" i="12"/>
  <c r="B21" i="12"/>
  <c r="A21" i="12"/>
  <c r="E20" i="12"/>
  <c r="D20" i="12"/>
  <c r="C20" i="12"/>
  <c r="B20" i="12"/>
  <c r="A20" i="12"/>
  <c r="E19" i="12"/>
  <c r="D19" i="12"/>
  <c r="C19" i="12"/>
  <c r="B19" i="12"/>
  <c r="A19" i="12"/>
  <c r="E18" i="12"/>
  <c r="D18" i="12"/>
  <c r="C18" i="12"/>
  <c r="B18" i="12"/>
  <c r="A18" i="12"/>
  <c r="E17" i="12"/>
  <c r="D17" i="12"/>
  <c r="C17" i="12"/>
  <c r="B17" i="12"/>
  <c r="A17" i="12"/>
  <c r="E16" i="12"/>
  <c r="D16" i="12"/>
  <c r="C16" i="12"/>
  <c r="B16" i="12"/>
  <c r="A16" i="12"/>
  <c r="E15" i="12"/>
  <c r="D15" i="12"/>
  <c r="C15" i="12"/>
  <c r="B15" i="12"/>
  <c r="A15" i="12"/>
  <c r="E14" i="12"/>
  <c r="D14" i="12"/>
  <c r="C14" i="12"/>
  <c r="B14" i="12"/>
  <c r="A14" i="12"/>
  <c r="E13" i="12"/>
  <c r="D13" i="12"/>
  <c r="C13" i="12"/>
  <c r="B13" i="12"/>
  <c r="A13" i="12"/>
  <c r="E12" i="12"/>
  <c r="D12" i="12"/>
  <c r="C12" i="12"/>
  <c r="B12" i="12"/>
  <c r="A12" i="12"/>
  <c r="E11" i="12"/>
  <c r="D11" i="12"/>
  <c r="C11" i="12"/>
  <c r="B11" i="12"/>
  <c r="A11" i="12"/>
  <c r="E10" i="12"/>
  <c r="D10" i="12"/>
  <c r="C10" i="12"/>
  <c r="B10" i="12"/>
  <c r="A10" i="12"/>
  <c r="E9" i="12"/>
  <c r="D9" i="12"/>
  <c r="C9" i="12"/>
  <c r="B9" i="12"/>
  <c r="A9" i="12"/>
  <c r="E8" i="12"/>
  <c r="D8" i="12"/>
  <c r="C8" i="12"/>
  <c r="B8" i="12"/>
  <c r="A8" i="12"/>
  <c r="E7" i="12"/>
  <c r="D7" i="12"/>
  <c r="C7" i="12"/>
  <c r="B7" i="12"/>
  <c r="A7" i="12"/>
  <c r="E6" i="12"/>
  <c r="D6" i="12"/>
  <c r="C6" i="12"/>
  <c r="B6" i="12"/>
  <c r="A6" i="12"/>
  <c r="E5" i="12"/>
  <c r="D5" i="12"/>
  <c r="C5" i="12"/>
  <c r="B5" i="12"/>
  <c r="A5" i="12"/>
  <c r="E4" i="12"/>
  <c r="D4" i="12"/>
  <c r="C4" i="12"/>
  <c r="B4" i="12"/>
  <c r="A4" i="12"/>
  <c r="E3" i="12"/>
  <c r="D3" i="12"/>
  <c r="C3" i="12"/>
  <c r="B3" i="12"/>
  <c r="A3" i="12"/>
  <c r="E2" i="12"/>
  <c r="D2" i="12"/>
  <c r="C2" i="12"/>
  <c r="B2" i="12"/>
  <c r="A2" i="12"/>
  <c r="E21" i="11"/>
  <c r="D21" i="11"/>
  <c r="C21" i="11"/>
  <c r="B21" i="11"/>
  <c r="A21" i="11"/>
  <c r="E20" i="11"/>
  <c r="D20" i="11"/>
  <c r="C20" i="11"/>
  <c r="B20" i="11"/>
  <c r="A20" i="11"/>
  <c r="E19" i="11"/>
  <c r="D19" i="11"/>
  <c r="C19" i="11"/>
  <c r="B19" i="11"/>
  <c r="A19" i="11"/>
  <c r="E18" i="11"/>
  <c r="D18" i="11"/>
  <c r="C18" i="11"/>
  <c r="B18" i="11"/>
  <c r="A18" i="11"/>
  <c r="E17" i="11"/>
  <c r="D17" i="11"/>
  <c r="C17" i="11"/>
  <c r="B17" i="11"/>
  <c r="A17" i="11"/>
  <c r="E16" i="11"/>
  <c r="D16" i="11"/>
  <c r="C16" i="11"/>
  <c r="B16" i="11"/>
  <c r="A16" i="11"/>
  <c r="E15" i="11"/>
  <c r="D15" i="11"/>
  <c r="C15" i="11"/>
  <c r="B15" i="11"/>
  <c r="A15" i="11"/>
  <c r="E14" i="11"/>
  <c r="D14" i="11"/>
  <c r="C14" i="11"/>
  <c r="B14" i="11"/>
  <c r="A14" i="11"/>
  <c r="E13" i="11"/>
  <c r="D13" i="11"/>
  <c r="C13" i="11"/>
  <c r="B13" i="11"/>
  <c r="A13" i="11"/>
  <c r="E12" i="11"/>
  <c r="D12" i="11"/>
  <c r="C12" i="11"/>
  <c r="B12" i="11"/>
  <c r="A12" i="11"/>
  <c r="E11" i="11"/>
  <c r="D11" i="11"/>
  <c r="C11" i="11"/>
  <c r="B11" i="11"/>
  <c r="A11" i="11"/>
  <c r="E10" i="11"/>
  <c r="D10" i="11"/>
  <c r="C10" i="11"/>
  <c r="B10" i="11"/>
  <c r="A10" i="11"/>
  <c r="E9" i="11"/>
  <c r="D9" i="11"/>
  <c r="C9" i="11"/>
  <c r="B9" i="11"/>
  <c r="A9" i="11"/>
  <c r="E8" i="11"/>
  <c r="D8" i="11"/>
  <c r="C8" i="11"/>
  <c r="B8" i="11"/>
  <c r="A8" i="11"/>
  <c r="E7" i="11"/>
  <c r="D7" i="11"/>
  <c r="C7" i="11"/>
  <c r="B7" i="11"/>
  <c r="A7" i="11"/>
  <c r="E6" i="11"/>
  <c r="D6" i="11"/>
  <c r="C6" i="11"/>
  <c r="B6" i="11"/>
  <c r="A6" i="11"/>
  <c r="E5" i="11"/>
  <c r="D5" i="11"/>
  <c r="C5" i="11"/>
  <c r="B5" i="11"/>
  <c r="A5" i="11"/>
  <c r="E4" i="11"/>
  <c r="D4" i="11"/>
  <c r="C4" i="11"/>
  <c r="B4" i="11"/>
  <c r="A4" i="11"/>
  <c r="E3" i="11"/>
  <c r="D3" i="11"/>
  <c r="C3" i="11"/>
  <c r="B3" i="11"/>
  <c r="A3" i="11"/>
  <c r="E2" i="11"/>
  <c r="D2" i="11"/>
  <c r="C2" i="11"/>
  <c r="B2" i="11"/>
  <c r="A2" i="11"/>
  <c r="E10" i="10"/>
  <c r="A1" i="10"/>
  <c r="B1" i="10"/>
  <c r="C1" i="10"/>
  <c r="D1" i="10"/>
  <c r="E1" i="10"/>
  <c r="A2" i="10"/>
  <c r="B2" i="10"/>
  <c r="C2" i="10"/>
  <c r="D2" i="10"/>
  <c r="E2" i="10"/>
  <c r="A3" i="10"/>
  <c r="B3" i="10"/>
  <c r="C3" i="10"/>
  <c r="D3" i="10"/>
  <c r="E3" i="10"/>
  <c r="A4" i="10"/>
  <c r="B4" i="10"/>
  <c r="C4" i="10"/>
  <c r="D4" i="10"/>
  <c r="E4" i="10"/>
  <c r="A5" i="10"/>
  <c r="B5" i="10"/>
  <c r="C5" i="10"/>
  <c r="D5" i="10"/>
  <c r="E5" i="10"/>
  <c r="A6" i="10"/>
  <c r="B6" i="10"/>
  <c r="C6" i="10"/>
  <c r="D6" i="10"/>
  <c r="E6" i="10"/>
  <c r="A7" i="10"/>
  <c r="B7" i="10"/>
  <c r="C7" i="10"/>
  <c r="D7" i="10"/>
  <c r="E7" i="10"/>
  <c r="A8" i="10"/>
  <c r="B8" i="10"/>
  <c r="C8" i="10"/>
  <c r="D8" i="10"/>
  <c r="E8" i="10"/>
  <c r="A9" i="10"/>
  <c r="B9" i="10"/>
  <c r="C9" i="10"/>
  <c r="D9" i="10"/>
  <c r="E9" i="10"/>
  <c r="A10" i="10"/>
  <c r="B10" i="10"/>
  <c r="C10" i="10"/>
  <c r="D10" i="10"/>
  <c r="A11" i="10"/>
  <c r="B11" i="10"/>
  <c r="C11" i="10"/>
  <c r="D11" i="10"/>
  <c r="E11" i="10"/>
  <c r="A12" i="10"/>
  <c r="B12" i="10"/>
  <c r="C12" i="10"/>
  <c r="D12" i="10"/>
  <c r="E12" i="10"/>
  <c r="A13" i="10"/>
  <c r="B13" i="10"/>
  <c r="C13" i="10"/>
  <c r="D13" i="10"/>
  <c r="E13" i="10"/>
  <c r="A14" i="10"/>
  <c r="B14" i="10"/>
  <c r="C14" i="10"/>
  <c r="D14" i="10"/>
  <c r="E14" i="10"/>
  <c r="A15" i="10"/>
  <c r="B15" i="10"/>
  <c r="C15" i="10"/>
  <c r="D15" i="10"/>
  <c r="E15" i="10"/>
  <c r="A16" i="10"/>
  <c r="B16" i="10"/>
  <c r="C16" i="10"/>
  <c r="D16" i="10"/>
  <c r="E16" i="10"/>
  <c r="A17" i="10"/>
  <c r="B17" i="10"/>
  <c r="C17" i="10"/>
  <c r="D17" i="10"/>
  <c r="E17" i="10"/>
  <c r="A18" i="10"/>
  <c r="B18" i="10"/>
  <c r="C18" i="10"/>
  <c r="D18" i="10"/>
  <c r="E18" i="10"/>
  <c r="A19" i="10"/>
  <c r="B19" i="10"/>
  <c r="C19" i="10"/>
  <c r="D19" i="10"/>
  <c r="E19" i="10"/>
  <c r="A20" i="10"/>
  <c r="B20" i="10"/>
  <c r="C20" i="10"/>
  <c r="D20" i="10"/>
  <c r="E20" i="10"/>
  <c r="A21" i="10"/>
  <c r="B21" i="10"/>
  <c r="C21" i="10"/>
  <c r="D21" i="10"/>
  <c r="E21" i="10"/>
  <c r="A1" i="6" l="1"/>
  <c r="B1" i="6"/>
  <c r="C1" i="6"/>
  <c r="D1" i="6"/>
  <c r="E1" i="6"/>
  <c r="A2" i="6"/>
  <c r="B2" i="6"/>
  <c r="C2" i="6"/>
  <c r="D2" i="6"/>
  <c r="E2" i="6"/>
  <c r="A3" i="6"/>
  <c r="B3" i="6"/>
  <c r="C3" i="6"/>
  <c r="D3" i="6"/>
  <c r="E3" i="6"/>
  <c r="A4" i="6"/>
  <c r="B4" i="6"/>
  <c r="C4" i="6"/>
  <c r="D4" i="6"/>
  <c r="E4" i="6"/>
  <c r="A5" i="6"/>
  <c r="B5" i="6"/>
  <c r="C5" i="6"/>
  <c r="D5" i="6"/>
  <c r="E5" i="6"/>
  <c r="A6" i="6"/>
  <c r="B6" i="6"/>
  <c r="C6" i="6"/>
  <c r="D6" i="6"/>
  <c r="E6" i="6"/>
  <c r="A7" i="6"/>
  <c r="B7" i="6"/>
  <c r="C7" i="6"/>
  <c r="D7" i="6"/>
  <c r="E7" i="6"/>
  <c r="A8" i="6"/>
  <c r="B8" i="6"/>
  <c r="C8" i="6"/>
  <c r="D8" i="6"/>
  <c r="E8" i="6"/>
  <c r="A9" i="6"/>
  <c r="B9" i="6"/>
  <c r="C9" i="6"/>
  <c r="D9" i="6"/>
  <c r="E9" i="6"/>
  <c r="A10" i="6"/>
  <c r="B10" i="6"/>
  <c r="C10" i="6"/>
  <c r="D10" i="6"/>
  <c r="E10" i="6"/>
  <c r="A11" i="6"/>
  <c r="B11" i="6"/>
  <c r="C11" i="6"/>
  <c r="D11" i="6"/>
  <c r="E11" i="6"/>
  <c r="A12" i="6"/>
  <c r="B12" i="6"/>
  <c r="C12" i="6"/>
  <c r="D12" i="6"/>
  <c r="E12" i="6"/>
  <c r="A13" i="6"/>
  <c r="B13" i="6"/>
  <c r="C13" i="6"/>
  <c r="D13" i="6"/>
  <c r="E13" i="6"/>
  <c r="A14" i="6"/>
  <c r="B14" i="6"/>
  <c r="C14" i="6"/>
  <c r="D14" i="6"/>
  <c r="E14" i="6"/>
  <c r="A15" i="6"/>
  <c r="B15" i="6"/>
  <c r="C15" i="6"/>
  <c r="D15" i="6"/>
  <c r="E15" i="6"/>
  <c r="A16" i="6"/>
  <c r="B16" i="6"/>
  <c r="C16" i="6"/>
  <c r="D16" i="6"/>
  <c r="E16" i="6"/>
  <c r="A17" i="6"/>
  <c r="B17" i="6"/>
  <c r="C17" i="6"/>
  <c r="D17" i="6"/>
  <c r="E17" i="6"/>
  <c r="A18" i="6"/>
  <c r="B18" i="6"/>
  <c r="C18" i="6"/>
  <c r="D18" i="6"/>
  <c r="E18" i="6"/>
  <c r="A19" i="6"/>
  <c r="B19" i="6"/>
  <c r="C19" i="6"/>
  <c r="D19" i="6"/>
  <c r="E19" i="6"/>
  <c r="A20" i="6"/>
  <c r="B20" i="6"/>
  <c r="C20" i="6"/>
  <c r="D20" i="6"/>
  <c r="E20" i="6"/>
  <c r="A21" i="6"/>
  <c r="B21" i="6"/>
  <c r="C21" i="6"/>
  <c r="D21" i="6"/>
  <c r="E21" i="6"/>
  <c r="E2" i="7" l="1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" i="5"/>
  <c r="I2" i="4"/>
  <c r="D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" i="1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I19" i="3"/>
  <c r="I20" i="3"/>
  <c r="I21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3" i="3"/>
  <c r="I3" i="2"/>
  <c r="I2" i="3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2" i="2"/>
  <c r="I3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</calcChain>
</file>

<file path=xl/sharedStrings.xml><?xml version="1.0" encoding="utf-8"?>
<sst xmlns="http://schemas.openxmlformats.org/spreadsheetml/2006/main" count="58" uniqueCount="16">
  <si>
    <t>CC</t>
  </si>
  <si>
    <t>PR</t>
  </si>
  <si>
    <t>TA</t>
  </si>
  <si>
    <t>PFI</t>
  </si>
  <si>
    <t>CB</t>
  </si>
  <si>
    <t>VCP</t>
  </si>
  <si>
    <t>V</t>
  </si>
  <si>
    <t>ZoneA</t>
  </si>
  <si>
    <t>Zone B</t>
  </si>
  <si>
    <t>Zone C</t>
  </si>
  <si>
    <t>Zone D</t>
  </si>
  <si>
    <t>Zone E</t>
  </si>
  <si>
    <t>Zone A</t>
  </si>
  <si>
    <t>Acceptes</t>
  </si>
  <si>
    <t>Incetitudes</t>
  </si>
  <si>
    <t>Rejeté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</si>
</sst>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3" borderId="0" xfId="0" applyFill="1"/>
    <xf numFmtId="0" fontId="0" fillId="0" borderId="0" xfId="0" applyFill="1"/>
    <xf numFmtId="0" fontId="1" fillId="3" borderId="0" xfId="0" applyFont="1" applyFill="1"/>
    <xf numFmtId="0" fontId="0" fillId="4" borderId="0" xfId="0" applyFill="1"/>
    <xf numFmtId="0" fontId="1" fillId="4" borderId="0" xfId="0" applyFont="1" applyFill="1"/>
    <xf numFmtId="0" fontId="2" fillId="0" borderId="0" xfId="0" applyFont="1"/>
  </cellXfs>
  <cellStyles count="1">
    <cellStyle name="Normal" xfId="0" builtinId="0"/>
  </cellStyles>
  <dxfs count="1">
    <dxf>
      <fill>
        <patternFill patternType="solid">
          <fgColor rgb="FF70AD47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Diagramme</a:t>
            </a:r>
            <a:r>
              <a:rPr lang="fr-FR" baseline="0"/>
              <a:t> Circulaire</a:t>
            </a:r>
            <a:endParaRPr lang="fr-F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69-46D7-8DF0-F4BE183359F9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69-46D7-8DF0-F4BE183359F9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69-46D7-8DF0-F4BE183359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('Diagramme circulaire'!$A$2,'Diagramme circulaire'!$B$2,'Diagramme circulaire'!$C$2)</c:f>
              <c:numCache>
                <c:formatCode>General</c:formatCode>
                <c:ptCount val="3"/>
                <c:pt idx="0">
                  <c:v>36</c:v>
                </c:pt>
                <c:pt idx="1">
                  <c:v>37</c:v>
                </c:pt>
                <c:pt idx="2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69-46D7-8DF0-F4BE18335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723900</xdr:colOff>
      <xdr:row>5</xdr:row>
      <xdr:rowOff>38100</xdr:rowOff>
    </xdr:from>
    <xdr:to>
      <xdr:col>10</xdr:col>
      <xdr:colOff>723900</xdr:colOff>
      <xdr:row>19</xdr:row>
      <xdr:rowOff>114300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I21"/>
  <sheetViews>
    <sheetView workbookViewId="0">
      <selection activeCell="J21" sqref="F21:J40"/>
    </sheetView>
  </sheetViews>
  <sheetFormatPr baseColWidth="10" defaultRowHeight="15" x14ac:dyDescent="0.25"/>
  <cols>
    <col min="1" max="7" width="11.4257812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s="1" t="s">
        <v>12</v>
      </c>
    </row>
    <row r="2" spans="1:9" x14ac:dyDescent="0.25">
      <c r="A2" s="1">
        <v>-12669592</v>
      </c>
      <c r="B2" s="1">
        <v>10220287</v>
      </c>
      <c r="C2" s="1">
        <v>11602297</v>
      </c>
      <c r="D2" s="1">
        <v>10120287</v>
      </c>
      <c r="E2" s="1">
        <v>356403</v>
      </c>
      <c r="F2" s="1">
        <v>24271889</v>
      </c>
      <c r="G2" s="1">
        <v>10632838</v>
      </c>
      <c r="I2">
        <f t="shared" ref="I2:I21" si="0">(1.2*A2/C2+1.4*B2/C2+3.3*D2/C2+0.6*E2/F2+0.999*G2/C2)</f>
        <v>3.7256642357577867</v>
      </c>
    </row>
    <row r="3" spans="1:9" x14ac:dyDescent="0.25">
      <c r="A3" s="1">
        <v>25099</v>
      </c>
      <c r="B3" s="1">
        <v>4788760</v>
      </c>
      <c r="C3" s="1">
        <v>13566555</v>
      </c>
      <c r="D3" s="1">
        <v>4688760</v>
      </c>
      <c r="E3" s="1">
        <v>304782</v>
      </c>
      <c r="F3" s="1">
        <v>13541456</v>
      </c>
      <c r="G3" s="1">
        <v>5057196</v>
      </c>
      <c r="I3">
        <f t="shared" si="0"/>
        <v>2.022815501124966</v>
      </c>
    </row>
    <row r="4" spans="1:9" x14ac:dyDescent="0.25">
      <c r="A4" s="1">
        <v>5697159</v>
      </c>
      <c r="B4" s="1">
        <v>3196660</v>
      </c>
      <c r="C4" s="1">
        <v>24032434</v>
      </c>
      <c r="D4" s="1">
        <v>3096660</v>
      </c>
      <c r="E4" s="1">
        <v>123104</v>
      </c>
      <c r="F4" s="1">
        <v>18335275</v>
      </c>
      <c r="G4" s="1">
        <v>3669992</v>
      </c>
      <c r="I4">
        <f t="shared" si="0"/>
        <v>1.0524954660427448</v>
      </c>
    </row>
    <row r="5" spans="1:9" x14ac:dyDescent="0.25">
      <c r="A5" s="1">
        <v>115702</v>
      </c>
      <c r="B5" s="1">
        <v>13625272</v>
      </c>
      <c r="C5" s="1">
        <v>14446232</v>
      </c>
      <c r="D5" s="1">
        <v>13525272</v>
      </c>
      <c r="E5" s="1">
        <v>476972</v>
      </c>
      <c r="F5" s="1">
        <v>14330530</v>
      </c>
      <c r="G5" s="1">
        <v>14166333</v>
      </c>
      <c r="I5">
        <f t="shared" si="0"/>
        <v>5.4192872754814463</v>
      </c>
    </row>
    <row r="6" spans="1:9" x14ac:dyDescent="0.25">
      <c r="A6" s="1">
        <v>3816720</v>
      </c>
      <c r="B6" s="1">
        <v>9331367</v>
      </c>
      <c r="C6" s="1">
        <v>16832148</v>
      </c>
      <c r="D6" s="1">
        <v>9231367</v>
      </c>
      <c r="E6" s="1">
        <v>309696</v>
      </c>
      <c r="F6" s="1">
        <v>13015428</v>
      </c>
      <c r="G6" s="1">
        <v>10023146</v>
      </c>
      <c r="I6">
        <f t="shared" si="0"/>
        <v>3.4672294700908628</v>
      </c>
    </row>
    <row r="7" spans="1:9" x14ac:dyDescent="0.25">
      <c r="A7" s="1">
        <v>14124528</v>
      </c>
      <c r="B7" s="1">
        <v>7460138</v>
      </c>
      <c r="C7" s="1">
        <v>24258979</v>
      </c>
      <c r="D7" s="1">
        <v>7360138</v>
      </c>
      <c r="E7" s="1">
        <v>458504</v>
      </c>
      <c r="F7" s="1">
        <v>10134451</v>
      </c>
      <c r="G7" s="1">
        <v>8241103</v>
      </c>
      <c r="I7">
        <f t="shared" si="0"/>
        <v>2.4969501235423688</v>
      </c>
    </row>
    <row r="8" spans="1:9" x14ac:dyDescent="0.25">
      <c r="A8" s="1">
        <v>1559563</v>
      </c>
      <c r="B8" s="1">
        <v>8221100</v>
      </c>
      <c r="C8" s="1">
        <v>19201074</v>
      </c>
      <c r="D8" s="1">
        <v>8121100</v>
      </c>
      <c r="E8" s="1">
        <v>410821</v>
      </c>
      <c r="F8" s="1">
        <v>17641511</v>
      </c>
      <c r="G8" s="1">
        <v>8583139</v>
      </c>
      <c r="I8">
        <f t="shared" si="0"/>
        <v>2.5531636799767976</v>
      </c>
    </row>
    <row r="9" spans="1:9" x14ac:dyDescent="0.25">
      <c r="A9" s="1">
        <v>7220041</v>
      </c>
      <c r="B9" s="1">
        <v>3141192</v>
      </c>
      <c r="C9" s="1">
        <v>19726999</v>
      </c>
      <c r="D9" s="1">
        <v>3041192</v>
      </c>
      <c r="E9" s="1">
        <v>113888</v>
      </c>
      <c r="F9" s="1">
        <v>12506958</v>
      </c>
      <c r="G9" s="1">
        <v>3469461</v>
      </c>
      <c r="I9">
        <f t="shared" si="0"/>
        <v>1.3520263893393645</v>
      </c>
    </row>
    <row r="10" spans="1:9" x14ac:dyDescent="0.25">
      <c r="A10" s="1">
        <v>-7705792</v>
      </c>
      <c r="B10" s="1">
        <v>6297910</v>
      </c>
      <c r="C10" s="1">
        <v>13749043</v>
      </c>
      <c r="D10" s="1">
        <v>6197910</v>
      </c>
      <c r="E10" s="1">
        <v>223844</v>
      </c>
      <c r="F10" s="1">
        <v>21454835</v>
      </c>
      <c r="G10" s="1">
        <v>7004684</v>
      </c>
      <c r="I10">
        <f t="shared" si="0"/>
        <v>1.9715535379088278</v>
      </c>
    </row>
    <row r="11" spans="1:9" x14ac:dyDescent="0.25">
      <c r="A11" s="1">
        <v>-5770669</v>
      </c>
      <c r="B11" s="1">
        <v>10843396</v>
      </c>
      <c r="C11" s="1">
        <v>13446647</v>
      </c>
      <c r="D11" s="1">
        <v>10743396</v>
      </c>
      <c r="E11" s="1">
        <v>293434</v>
      </c>
      <c r="F11" s="1">
        <v>19217316</v>
      </c>
      <c r="G11" s="1">
        <v>11620394</v>
      </c>
      <c r="I11">
        <f t="shared" si="0"/>
        <v>4.1230445131669917</v>
      </c>
    </row>
    <row r="12" spans="1:9" x14ac:dyDescent="0.25">
      <c r="A12" s="1">
        <v>162202</v>
      </c>
      <c r="B12" s="1">
        <v>2707649</v>
      </c>
      <c r="C12" s="1">
        <v>23575056</v>
      </c>
      <c r="D12" s="1">
        <v>2607649</v>
      </c>
      <c r="E12" s="1">
        <v>245758</v>
      </c>
      <c r="F12" s="1">
        <v>23412854</v>
      </c>
      <c r="G12" s="1">
        <v>3471145</v>
      </c>
      <c r="I12">
        <f t="shared" si="0"/>
        <v>0.68745299725557463</v>
      </c>
    </row>
    <row r="13" spans="1:9" x14ac:dyDescent="0.25">
      <c r="A13" s="1">
        <v>10279145</v>
      </c>
      <c r="B13" s="1">
        <v>4100015</v>
      </c>
      <c r="C13" s="1">
        <v>20671895</v>
      </c>
      <c r="D13" s="1">
        <v>4000015</v>
      </c>
      <c r="E13" s="1">
        <v>340240</v>
      </c>
      <c r="F13" s="1">
        <v>10392750</v>
      </c>
      <c r="G13" s="1">
        <v>4899009</v>
      </c>
      <c r="I13">
        <f t="shared" si="0"/>
        <v>1.7693206625034374</v>
      </c>
    </row>
    <row r="14" spans="1:9" x14ac:dyDescent="0.25">
      <c r="A14" s="1">
        <v>-816657</v>
      </c>
      <c r="B14" s="1">
        <v>3314632</v>
      </c>
      <c r="C14" s="1">
        <v>15620529</v>
      </c>
      <c r="D14" s="1">
        <v>3214632</v>
      </c>
      <c r="E14" s="1">
        <v>223387</v>
      </c>
      <c r="F14" s="1">
        <v>16437186</v>
      </c>
      <c r="G14" s="1">
        <v>4061840</v>
      </c>
      <c r="I14">
        <f t="shared" si="0"/>
        <v>1.1813897705145358</v>
      </c>
    </row>
    <row r="15" spans="1:9" x14ac:dyDescent="0.25">
      <c r="A15" s="1">
        <v>-4693175</v>
      </c>
      <c r="B15" s="1">
        <v>2622315</v>
      </c>
      <c r="C15" s="1">
        <v>14177487</v>
      </c>
      <c r="D15" s="1">
        <v>2522315</v>
      </c>
      <c r="E15" s="1">
        <v>407920</v>
      </c>
      <c r="F15" s="1">
        <v>18870662</v>
      </c>
      <c r="G15" s="1">
        <v>2986883</v>
      </c>
      <c r="I15">
        <f t="shared" si="0"/>
        <v>0.67225230100045819</v>
      </c>
    </row>
    <row r="16" spans="1:9" x14ac:dyDescent="0.25">
      <c r="A16" s="1">
        <v>11803165</v>
      </c>
      <c r="B16" s="1">
        <v>9120635</v>
      </c>
      <c r="C16" s="1">
        <v>24192612</v>
      </c>
      <c r="D16" s="1">
        <v>9020635</v>
      </c>
      <c r="E16" s="1">
        <v>189359</v>
      </c>
      <c r="F16" s="1">
        <v>12389447</v>
      </c>
      <c r="G16" s="1">
        <v>9397810</v>
      </c>
      <c r="I16">
        <f t="shared" si="0"/>
        <v>2.7409627818064166</v>
      </c>
    </row>
    <row r="17" spans="1:9" x14ac:dyDescent="0.25">
      <c r="A17" s="1">
        <v>5183016</v>
      </c>
      <c r="B17" s="1">
        <v>8787655</v>
      </c>
      <c r="C17" s="1">
        <v>19195036</v>
      </c>
      <c r="D17" s="1">
        <v>8687655</v>
      </c>
      <c r="E17" s="1">
        <v>123284</v>
      </c>
      <c r="F17" s="1">
        <v>14012020</v>
      </c>
      <c r="G17" s="1">
        <v>9587930</v>
      </c>
      <c r="I17">
        <f t="shared" si="0"/>
        <v>2.962811409238447</v>
      </c>
    </row>
    <row r="18" spans="1:9" x14ac:dyDescent="0.25">
      <c r="A18" s="1">
        <v>2841324</v>
      </c>
      <c r="B18" s="1">
        <v>10208886</v>
      </c>
      <c r="C18" s="1">
        <v>17581204</v>
      </c>
      <c r="D18" s="1">
        <v>10108886</v>
      </c>
      <c r="E18" s="1">
        <v>100485</v>
      </c>
      <c r="F18" s="1">
        <v>14739880</v>
      </c>
      <c r="G18" s="1">
        <v>10915048</v>
      </c>
      <c r="I18">
        <f t="shared" si="0"/>
        <v>3.5286206172189396</v>
      </c>
    </row>
    <row r="19" spans="1:9" x14ac:dyDescent="0.25">
      <c r="A19" s="1">
        <v>2034404</v>
      </c>
      <c r="B19" s="1">
        <v>6354879</v>
      </c>
      <c r="C19" s="1">
        <v>20751230</v>
      </c>
      <c r="D19" s="1">
        <v>6254879</v>
      </c>
      <c r="E19" s="1">
        <v>326177</v>
      </c>
      <c r="F19" s="1">
        <v>18716826</v>
      </c>
      <c r="G19" s="1">
        <v>7279835</v>
      </c>
      <c r="I19">
        <f t="shared" si="0"/>
        <v>1.9019956661183675</v>
      </c>
    </row>
    <row r="20" spans="1:9" x14ac:dyDescent="0.25">
      <c r="A20" s="1">
        <v>-1275318</v>
      </c>
      <c r="B20" s="1">
        <v>9373731</v>
      </c>
      <c r="C20" s="1">
        <v>16635128</v>
      </c>
      <c r="D20" s="1">
        <v>9273731</v>
      </c>
      <c r="E20" s="1">
        <v>231357</v>
      </c>
      <c r="F20" s="1">
        <v>17910446</v>
      </c>
      <c r="G20" s="1">
        <v>10109637</v>
      </c>
      <c r="I20">
        <f t="shared" si="0"/>
        <v>3.1514402150388876</v>
      </c>
    </row>
    <row r="21" spans="1:9" x14ac:dyDescent="0.25">
      <c r="A21" s="1">
        <v>-5685903</v>
      </c>
      <c r="B21" s="1">
        <v>2132209</v>
      </c>
      <c r="C21" s="1">
        <v>12453407</v>
      </c>
      <c r="D21" s="1">
        <v>2032209</v>
      </c>
      <c r="E21" s="1">
        <v>308071</v>
      </c>
      <c r="F21" s="1">
        <v>18139310</v>
      </c>
      <c r="G21" s="1">
        <v>2642118</v>
      </c>
      <c r="I21">
        <f t="shared" si="0"/>
        <v>0.45246067042608756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I21"/>
  <sheetViews>
    <sheetView workbookViewId="0">
      <selection activeCell="A14" sqref="A14:G14"/>
    </sheetView>
  </sheetViews>
  <sheetFormatPr baseColWidth="10" defaultRowHeight="15" x14ac:dyDescent="0.25"/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s="1" t="s">
        <v>8</v>
      </c>
    </row>
    <row r="2" spans="1:9" x14ac:dyDescent="0.25">
      <c r="A2" s="1">
        <v>10239761</v>
      </c>
      <c r="B2" s="1">
        <v>7216077</v>
      </c>
      <c r="C2" s="1">
        <v>22323551</v>
      </c>
      <c r="D2" s="1">
        <v>7116077</v>
      </c>
      <c r="E2" s="1">
        <v>181379</v>
      </c>
      <c r="F2" s="1">
        <v>12083790</v>
      </c>
      <c r="G2" s="1">
        <v>7815880</v>
      </c>
      <c r="I2">
        <f>(1.2*A2/C2+1.4*B2/C2+3.3*D2/C2+0.6*E2/F2+0.999*G2/C2)</f>
        <v>2.4137014122299512</v>
      </c>
    </row>
    <row r="3" spans="1:9" x14ac:dyDescent="0.25">
      <c r="A3" s="1">
        <v>-5188964</v>
      </c>
      <c r="B3" s="1">
        <v>6301456</v>
      </c>
      <c r="C3" s="1">
        <v>10585803</v>
      </c>
      <c r="D3" s="1">
        <v>6201456</v>
      </c>
      <c r="E3" s="1">
        <v>481592</v>
      </c>
      <c r="F3" s="1">
        <v>15774767</v>
      </c>
      <c r="G3" s="1">
        <v>6609908</v>
      </c>
      <c r="I3">
        <f>(1.2*A3/C3+1.4*B3/C3+3.3*D3/C3+0.6*E3/F3+0.999*G3/C3)</f>
        <v>2.8205031348194876</v>
      </c>
    </row>
    <row r="4" spans="1:9" x14ac:dyDescent="0.25">
      <c r="A4" s="1">
        <v>7110072</v>
      </c>
      <c r="B4" s="1">
        <v>11769506</v>
      </c>
      <c r="C4" s="1">
        <v>21392423</v>
      </c>
      <c r="D4" s="1">
        <v>11669506</v>
      </c>
      <c r="E4" s="1">
        <v>432266</v>
      </c>
      <c r="F4" s="1">
        <v>14282351</v>
      </c>
      <c r="G4" s="1">
        <v>12373901</v>
      </c>
      <c r="I4">
        <f t="shared" ref="I4:I21" si="0">(1.2*A4/C4+1.4*B4/C4+3.3*D4/C4+0.6*E4/F4+0.999*G4/C4)</f>
        <v>3.5652233632736023</v>
      </c>
    </row>
    <row r="5" spans="1:9" x14ac:dyDescent="0.25">
      <c r="A5" s="1">
        <v>-4705002</v>
      </c>
      <c r="B5" s="1">
        <v>49854</v>
      </c>
      <c r="C5" s="1">
        <v>12760474</v>
      </c>
      <c r="D5" s="1">
        <v>-50146</v>
      </c>
      <c r="E5" s="1">
        <v>264554</v>
      </c>
      <c r="F5" s="1">
        <v>17465476</v>
      </c>
      <c r="G5" s="1">
        <v>1009722</v>
      </c>
      <c r="I5">
        <f t="shared" si="0"/>
        <v>-0.36182077860307343</v>
      </c>
    </row>
    <row r="6" spans="1:9" x14ac:dyDescent="0.25">
      <c r="A6" s="1">
        <v>-8007787</v>
      </c>
      <c r="B6" s="1">
        <v>2257975</v>
      </c>
      <c r="C6" s="1">
        <v>13637467</v>
      </c>
      <c r="D6" s="1">
        <v>2157975</v>
      </c>
      <c r="E6" s="1">
        <v>225825</v>
      </c>
      <c r="F6" s="1">
        <v>21645254</v>
      </c>
      <c r="G6" s="1">
        <v>3042758</v>
      </c>
      <c r="I6">
        <f t="shared" si="0"/>
        <v>0.27851368457977788</v>
      </c>
    </row>
    <row r="7" spans="1:9" x14ac:dyDescent="0.25">
      <c r="A7" s="1">
        <v>8443487</v>
      </c>
      <c r="B7" s="1">
        <v>7677471</v>
      </c>
      <c r="C7" s="1">
        <v>18950949</v>
      </c>
      <c r="D7" s="1">
        <v>7577471</v>
      </c>
      <c r="E7" s="1">
        <v>138883</v>
      </c>
      <c r="F7" s="1">
        <v>10507462</v>
      </c>
      <c r="G7" s="1">
        <v>8442581</v>
      </c>
      <c r="I7">
        <f t="shared" si="0"/>
        <v>2.8743007905340838</v>
      </c>
    </row>
    <row r="8" spans="1:9" x14ac:dyDescent="0.25">
      <c r="A8" s="1">
        <v>1558033</v>
      </c>
      <c r="B8" s="1">
        <v>12929599</v>
      </c>
      <c r="C8" s="1">
        <v>17280722</v>
      </c>
      <c r="D8" s="1">
        <v>12829599</v>
      </c>
      <c r="E8" s="1">
        <v>148004</v>
      </c>
      <c r="F8" s="1">
        <v>15722689</v>
      </c>
      <c r="G8" s="1">
        <v>13402050</v>
      </c>
      <c r="I8">
        <f t="shared" si="0"/>
        <v>4.3861017546052743</v>
      </c>
    </row>
    <row r="9" spans="1:9" x14ac:dyDescent="0.25">
      <c r="A9" s="1">
        <v>-1699302</v>
      </c>
      <c r="B9" s="1">
        <v>7321042</v>
      </c>
      <c r="C9" s="1">
        <v>12865033</v>
      </c>
      <c r="D9" s="1">
        <v>7221042</v>
      </c>
      <c r="E9" s="1">
        <v>214458</v>
      </c>
      <c r="F9" s="1">
        <v>14564335</v>
      </c>
      <c r="G9" s="1">
        <v>7683253</v>
      </c>
      <c r="I9">
        <f t="shared" si="0"/>
        <v>3.0959086029659644</v>
      </c>
    </row>
    <row r="10" spans="1:9" x14ac:dyDescent="0.25">
      <c r="A10" s="1">
        <v>-5958196</v>
      </c>
      <c r="B10" s="1">
        <v>14219713</v>
      </c>
      <c r="C10" s="1">
        <v>16739427</v>
      </c>
      <c r="D10" s="1">
        <v>14119713</v>
      </c>
      <c r="E10" s="1">
        <v>388391</v>
      </c>
      <c r="F10" s="1">
        <v>22697623</v>
      </c>
      <c r="G10" s="1">
        <v>14444580</v>
      </c>
      <c r="I10">
        <f t="shared" si="0"/>
        <v>4.4180015014373462</v>
      </c>
    </row>
    <row r="11" spans="1:9" x14ac:dyDescent="0.25">
      <c r="A11" s="1">
        <v>-10450267</v>
      </c>
      <c r="B11" s="1">
        <v>7723385</v>
      </c>
      <c r="C11" s="1">
        <v>14483512</v>
      </c>
      <c r="D11" s="1">
        <v>7623385</v>
      </c>
      <c r="E11" s="1">
        <v>363396</v>
      </c>
      <c r="F11" s="1">
        <v>24933779</v>
      </c>
      <c r="G11" s="1">
        <v>8287099</v>
      </c>
      <c r="I11">
        <f t="shared" si="0"/>
        <v>2.1980203761131691</v>
      </c>
    </row>
    <row r="12" spans="1:9" x14ac:dyDescent="0.25">
      <c r="A12" s="1">
        <v>3102730</v>
      </c>
      <c r="B12" s="1">
        <v>13433304</v>
      </c>
      <c r="C12" s="1">
        <v>25517865</v>
      </c>
      <c r="D12" s="1">
        <v>13333304</v>
      </c>
      <c r="E12" s="1">
        <v>249202</v>
      </c>
      <c r="F12" s="1">
        <v>22415135</v>
      </c>
      <c r="G12" s="1">
        <v>14094108</v>
      </c>
      <c r="I12">
        <f t="shared" si="0"/>
        <v>3.1656267793836772</v>
      </c>
    </row>
    <row r="13" spans="1:9" x14ac:dyDescent="0.25">
      <c r="A13" s="1">
        <v>-9515416</v>
      </c>
      <c r="B13" s="1">
        <v>13245123</v>
      </c>
      <c r="C13" s="1">
        <v>13415355</v>
      </c>
      <c r="D13" s="1">
        <v>13145123</v>
      </c>
      <c r="E13" s="1">
        <v>363508</v>
      </c>
      <c r="F13" s="1">
        <v>22930771</v>
      </c>
      <c r="G13" s="1">
        <v>13602386</v>
      </c>
      <c r="I13">
        <f t="shared" si="0"/>
        <v>4.7870490154336096</v>
      </c>
    </row>
    <row r="14" spans="1:9" x14ac:dyDescent="0.25">
      <c r="A14" s="1">
        <v>9684313</v>
      </c>
      <c r="B14" s="1">
        <v>4759231</v>
      </c>
      <c r="C14" s="1">
        <v>22248542</v>
      </c>
      <c r="D14" s="1">
        <v>4659231</v>
      </c>
      <c r="E14" s="1">
        <v>344243</v>
      </c>
      <c r="F14" s="1">
        <v>12564229</v>
      </c>
      <c r="G14" s="1">
        <v>5569819</v>
      </c>
      <c r="I14">
        <f t="shared" si="0"/>
        <v>1.7794226058818552</v>
      </c>
    </row>
    <row r="15" spans="1:9" x14ac:dyDescent="0.25">
      <c r="A15" s="1">
        <v>9067748</v>
      </c>
      <c r="B15" s="1">
        <v>6505027</v>
      </c>
      <c r="C15" s="1">
        <v>22729020</v>
      </c>
      <c r="D15" s="1">
        <v>6405027</v>
      </c>
      <c r="E15" s="1">
        <v>201039</v>
      </c>
      <c r="F15" s="1">
        <v>13661272</v>
      </c>
      <c r="G15" s="1">
        <v>7461786</v>
      </c>
      <c r="I15">
        <f t="shared" si="0"/>
        <v>2.1461522138097839</v>
      </c>
    </row>
    <row r="16" spans="1:9" x14ac:dyDescent="0.25">
      <c r="A16" s="1">
        <v>-1118680</v>
      </c>
      <c r="B16" s="1">
        <v>13207491</v>
      </c>
      <c r="C16" s="1">
        <v>20511012</v>
      </c>
      <c r="D16" s="1">
        <v>13107491</v>
      </c>
      <c r="E16" s="1">
        <v>245968</v>
      </c>
      <c r="F16" s="1">
        <v>21629692</v>
      </c>
      <c r="G16" s="1">
        <v>14167518</v>
      </c>
      <c r="I16">
        <f t="shared" si="0"/>
        <v>3.6417554704447808</v>
      </c>
    </row>
    <row r="17" spans="1:9" x14ac:dyDescent="0.25">
      <c r="A17" s="1">
        <v>5206084</v>
      </c>
      <c r="B17" s="1">
        <v>2402015</v>
      </c>
      <c r="C17" s="1">
        <v>21742356</v>
      </c>
      <c r="D17" s="1">
        <v>2302015</v>
      </c>
      <c r="E17" s="1">
        <v>148290</v>
      </c>
      <c r="F17" s="1">
        <v>16536272</v>
      </c>
      <c r="G17" s="1">
        <v>2694615</v>
      </c>
      <c r="I17">
        <f t="shared" si="0"/>
        <v>0.92058455878652834</v>
      </c>
    </row>
    <row r="18" spans="1:9" x14ac:dyDescent="0.25">
      <c r="A18" s="1">
        <v>-795227</v>
      </c>
      <c r="B18" s="1">
        <v>10817831</v>
      </c>
      <c r="C18" s="1">
        <v>22192778</v>
      </c>
      <c r="D18" s="1">
        <v>10717831</v>
      </c>
      <c r="E18" s="1">
        <v>200485</v>
      </c>
      <c r="F18" s="1">
        <v>22988005</v>
      </c>
      <c r="G18" s="1">
        <v>11319869</v>
      </c>
      <c r="I18">
        <f t="shared" si="0"/>
        <v>2.747930528978245</v>
      </c>
    </row>
    <row r="19" spans="1:9" x14ac:dyDescent="0.25">
      <c r="A19" s="1">
        <v>9567109</v>
      </c>
      <c r="B19" s="1">
        <v>2080415</v>
      </c>
      <c r="C19" s="1">
        <v>23002305</v>
      </c>
      <c r="D19" s="1">
        <v>1980415</v>
      </c>
      <c r="E19" s="1">
        <v>199289</v>
      </c>
      <c r="F19" s="1">
        <v>13435196</v>
      </c>
      <c r="G19" s="1">
        <v>2915591</v>
      </c>
      <c r="I19">
        <f t="shared" si="0"/>
        <v>1.0453681702725737</v>
      </c>
    </row>
    <row r="20" spans="1:9" x14ac:dyDescent="0.25">
      <c r="A20" s="1">
        <v>-448492</v>
      </c>
      <c r="B20" s="1">
        <v>12111962</v>
      </c>
      <c r="C20" s="1">
        <v>15153729</v>
      </c>
      <c r="D20" s="1">
        <v>12011962</v>
      </c>
      <c r="E20" s="1">
        <v>428139</v>
      </c>
      <c r="F20" s="1">
        <v>15602221</v>
      </c>
      <c r="G20" s="1">
        <v>12570944</v>
      </c>
      <c r="I20">
        <f t="shared" si="0"/>
        <v>4.5444856009559746</v>
      </c>
    </row>
    <row r="21" spans="1:9" x14ac:dyDescent="0.25">
      <c r="A21" s="1">
        <v>-467841</v>
      </c>
      <c r="B21" s="1">
        <v>6960226</v>
      </c>
      <c r="C21" s="1">
        <v>15805880</v>
      </c>
      <c r="D21" s="1">
        <v>6860226</v>
      </c>
      <c r="E21" s="1">
        <v>207048</v>
      </c>
      <c r="F21" s="1">
        <v>16273721</v>
      </c>
      <c r="G21" s="1">
        <v>7606049</v>
      </c>
      <c r="I21">
        <f t="shared" si="0"/>
        <v>2.5016483353282704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I21"/>
  <sheetViews>
    <sheetView workbookViewId="0">
      <selection activeCell="I2" sqref="I2:I21"/>
    </sheetView>
  </sheetViews>
  <sheetFormatPr baseColWidth="10" defaultRowHeight="15" x14ac:dyDescent="0.25"/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s="1" t="s">
        <v>9</v>
      </c>
    </row>
    <row r="2" spans="1:9" x14ac:dyDescent="0.25">
      <c r="A2" s="1">
        <v>-4071868</v>
      </c>
      <c r="B2" s="1">
        <v>8971976</v>
      </c>
      <c r="C2" s="1">
        <v>15701038</v>
      </c>
      <c r="D2" s="1">
        <v>8871976</v>
      </c>
      <c r="E2" s="1">
        <v>203124</v>
      </c>
      <c r="F2" s="1">
        <v>19772906</v>
      </c>
      <c r="G2" s="1">
        <v>9253255</v>
      </c>
      <c r="I2">
        <f>(1.2*A2/C2+1.4*B2/C2+3.3*D2/C2+0.6*E2/F2+0.999*G2/C2)</f>
        <v>2.9483925803838331</v>
      </c>
    </row>
    <row r="3" spans="1:9" x14ac:dyDescent="0.25">
      <c r="A3" s="1">
        <v>792206</v>
      </c>
      <c r="B3" s="1">
        <v>10563750</v>
      </c>
      <c r="C3" s="1">
        <v>22159962</v>
      </c>
      <c r="D3" s="1">
        <v>10463750</v>
      </c>
      <c r="E3" s="1">
        <v>208170</v>
      </c>
      <c r="F3" s="1">
        <v>21367756</v>
      </c>
      <c r="G3" s="1">
        <v>10921264</v>
      </c>
      <c r="I3">
        <f>(1.2*A3/C3+1.4*B3/C3+3.3*D3/C3+0.6*E3/F3+0.999*G3/C3)</f>
        <v>2.7667081584741604</v>
      </c>
    </row>
    <row r="4" spans="1:9" x14ac:dyDescent="0.25">
      <c r="A4" s="1">
        <v>5640419</v>
      </c>
      <c r="B4" s="1">
        <v>5228828</v>
      </c>
      <c r="C4" s="1">
        <v>25743034</v>
      </c>
      <c r="D4" s="1">
        <v>5128828</v>
      </c>
      <c r="E4" s="1">
        <v>306697</v>
      </c>
      <c r="F4" s="1">
        <v>20102615</v>
      </c>
      <c r="G4" s="1">
        <v>6114153</v>
      </c>
      <c r="I4">
        <f t="shared" ref="I4:I21" si="0">(1.2*A4/C4+1.4*B4/C4+3.3*D4/C4+0.6*E4/F4+0.999*G4/C4)</f>
        <v>1.4511764045879667</v>
      </c>
    </row>
    <row r="5" spans="1:9" x14ac:dyDescent="0.25">
      <c r="A5" s="1">
        <v>4210530</v>
      </c>
      <c r="B5" s="1">
        <v>8992874</v>
      </c>
      <c r="C5" s="1">
        <v>19122529</v>
      </c>
      <c r="D5" s="1">
        <v>8892874</v>
      </c>
      <c r="E5" s="1">
        <v>255600</v>
      </c>
      <c r="F5" s="1">
        <v>14911999</v>
      </c>
      <c r="G5" s="1">
        <v>9287741</v>
      </c>
      <c r="I5">
        <f t="shared" si="0"/>
        <v>2.9527610893913412</v>
      </c>
    </row>
    <row r="6" spans="1:9" x14ac:dyDescent="0.25">
      <c r="A6" s="1">
        <v>2887233</v>
      </c>
      <c r="B6" s="1">
        <v>13147117</v>
      </c>
      <c r="C6" s="1">
        <v>21448394</v>
      </c>
      <c r="D6" s="1">
        <v>13047117</v>
      </c>
      <c r="E6" s="1">
        <v>196255</v>
      </c>
      <c r="F6" s="1">
        <v>18561161</v>
      </c>
      <c r="G6" s="1">
        <v>13543145</v>
      </c>
      <c r="I6">
        <f t="shared" si="0"/>
        <v>3.6642277792858002</v>
      </c>
    </row>
    <row r="7" spans="1:9" x14ac:dyDescent="0.25">
      <c r="A7" s="1">
        <v>1685691</v>
      </c>
      <c r="B7" s="1">
        <v>12971148</v>
      </c>
      <c r="C7" s="1">
        <v>21322103</v>
      </c>
      <c r="D7" s="1">
        <v>12871148</v>
      </c>
      <c r="E7" s="1">
        <v>347600</v>
      </c>
      <c r="F7" s="1">
        <v>19636412</v>
      </c>
      <c r="G7" s="1">
        <v>13906952</v>
      </c>
      <c r="I7">
        <f t="shared" si="0"/>
        <v>3.6008049353909151</v>
      </c>
    </row>
    <row r="8" spans="1:9" x14ac:dyDescent="0.25">
      <c r="A8" s="1">
        <v>-3225736</v>
      </c>
      <c r="B8" s="1">
        <v>4960797</v>
      </c>
      <c r="C8" s="1">
        <v>19580822</v>
      </c>
      <c r="D8" s="1">
        <v>4860797</v>
      </c>
      <c r="E8" s="1">
        <v>365350</v>
      </c>
      <c r="F8" s="1">
        <v>22806558</v>
      </c>
      <c r="G8" s="1">
        <v>5597803</v>
      </c>
      <c r="I8">
        <f t="shared" si="0"/>
        <v>1.2714110296843359</v>
      </c>
    </row>
    <row r="9" spans="1:9" x14ac:dyDescent="0.25">
      <c r="A9" s="1">
        <v>3125064</v>
      </c>
      <c r="B9" s="1">
        <v>14107331</v>
      </c>
      <c r="C9" s="1">
        <v>20552628</v>
      </c>
      <c r="D9" s="1">
        <v>14007331</v>
      </c>
      <c r="E9" s="1">
        <v>296064</v>
      </c>
      <c r="F9" s="1">
        <v>17427564</v>
      </c>
      <c r="G9" s="1">
        <v>14593538</v>
      </c>
      <c r="I9">
        <f t="shared" si="0"/>
        <v>4.1120273768929874</v>
      </c>
    </row>
    <row r="10" spans="1:9" x14ac:dyDescent="0.25">
      <c r="A10" s="1">
        <v>4819843</v>
      </c>
      <c r="B10" s="1">
        <v>6813112</v>
      </c>
      <c r="C10" s="1">
        <v>23154062</v>
      </c>
      <c r="D10" s="1">
        <v>6713112</v>
      </c>
      <c r="E10" s="1">
        <v>266841</v>
      </c>
      <c r="F10" s="1">
        <v>18334219</v>
      </c>
      <c r="G10" s="1">
        <v>7410181</v>
      </c>
      <c r="I10">
        <f t="shared" si="0"/>
        <v>1.9469759979674781</v>
      </c>
    </row>
    <row r="11" spans="1:9" x14ac:dyDescent="0.25">
      <c r="A11" s="1">
        <v>1524804</v>
      </c>
      <c r="B11" s="1">
        <v>5173541</v>
      </c>
      <c r="C11" s="1">
        <v>17658795</v>
      </c>
      <c r="D11" s="1">
        <v>5073541</v>
      </c>
      <c r="E11" s="1">
        <v>449026</v>
      </c>
      <c r="F11" s="1">
        <v>16133991</v>
      </c>
      <c r="G11" s="1">
        <v>5878212</v>
      </c>
      <c r="I11">
        <f t="shared" si="0"/>
        <v>1.8111439104938638</v>
      </c>
    </row>
    <row r="12" spans="1:9" x14ac:dyDescent="0.25">
      <c r="A12" s="1">
        <v>-1946723</v>
      </c>
      <c r="B12" s="1">
        <v>6728620</v>
      </c>
      <c r="C12" s="1">
        <v>15406364</v>
      </c>
      <c r="D12" s="1">
        <v>6628620</v>
      </c>
      <c r="E12" s="1">
        <v>228340</v>
      </c>
      <c r="F12" s="1">
        <v>17353087</v>
      </c>
      <c r="G12" s="1">
        <v>6896293</v>
      </c>
      <c r="I12">
        <f t="shared" si="0"/>
        <v>2.3347155483481732</v>
      </c>
    </row>
    <row r="13" spans="1:9" x14ac:dyDescent="0.25">
      <c r="A13" s="1">
        <v>1153126</v>
      </c>
      <c r="B13" s="1">
        <v>3656309</v>
      </c>
      <c r="C13" s="1">
        <v>22435472</v>
      </c>
      <c r="D13" s="1">
        <v>3556309</v>
      </c>
      <c r="E13" s="1">
        <v>370975</v>
      </c>
      <c r="F13" s="1">
        <v>21282346</v>
      </c>
      <c r="G13" s="1">
        <v>4634339</v>
      </c>
      <c r="I13">
        <f t="shared" si="0"/>
        <v>1.0297422458274885</v>
      </c>
    </row>
    <row r="14" spans="1:9" x14ac:dyDescent="0.25">
      <c r="A14" s="1">
        <v>-2832271</v>
      </c>
      <c r="B14" s="1">
        <v>9000832</v>
      </c>
      <c r="C14" s="1">
        <v>11683026</v>
      </c>
      <c r="D14" s="1">
        <v>8900832</v>
      </c>
      <c r="E14" s="1">
        <v>107927</v>
      </c>
      <c r="F14" s="1">
        <v>14515297</v>
      </c>
      <c r="G14" s="1">
        <v>9464077</v>
      </c>
      <c r="I14">
        <f t="shared" si="0"/>
        <v>4.1155364104236849</v>
      </c>
    </row>
    <row r="15" spans="1:9" x14ac:dyDescent="0.25">
      <c r="A15" s="1">
        <v>2101397</v>
      </c>
      <c r="B15" s="1">
        <v>8502703</v>
      </c>
      <c r="C15" s="1">
        <v>20815120</v>
      </c>
      <c r="D15" s="1">
        <v>8402703</v>
      </c>
      <c r="E15" s="1">
        <v>309383</v>
      </c>
      <c r="F15" s="1">
        <v>18713723</v>
      </c>
      <c r="G15" s="1">
        <v>9212010</v>
      </c>
      <c r="I15">
        <f t="shared" si="0"/>
        <v>2.4772210291376418</v>
      </c>
    </row>
    <row r="16" spans="1:9" x14ac:dyDescent="0.25">
      <c r="A16" s="1">
        <v>-1287452</v>
      </c>
      <c r="B16" s="1">
        <v>10478281</v>
      </c>
      <c r="C16" s="1">
        <v>17824456</v>
      </c>
      <c r="D16" s="1">
        <v>10378281</v>
      </c>
      <c r="E16" s="1">
        <v>392505</v>
      </c>
      <c r="F16" s="1">
        <v>19111908</v>
      </c>
      <c r="G16" s="1">
        <v>10742805</v>
      </c>
      <c r="I16">
        <f t="shared" si="0"/>
        <v>3.2721716221007058</v>
      </c>
    </row>
    <row r="17" spans="1:9" x14ac:dyDescent="0.25">
      <c r="A17" s="1">
        <v>-12405719</v>
      </c>
      <c r="B17" s="1">
        <v>749472</v>
      </c>
      <c r="C17" s="1">
        <v>11625342</v>
      </c>
      <c r="D17" s="1">
        <v>649472</v>
      </c>
      <c r="E17" s="1">
        <v>485882</v>
      </c>
      <c r="F17" s="1">
        <v>24031061</v>
      </c>
      <c r="G17" s="1">
        <v>1704025</v>
      </c>
      <c r="I17">
        <f t="shared" si="0"/>
        <v>-0.84737226122611009</v>
      </c>
    </row>
    <row r="18" spans="1:9" x14ac:dyDescent="0.25">
      <c r="A18" s="1">
        <v>-13437609</v>
      </c>
      <c r="B18" s="1">
        <v>13282127</v>
      </c>
      <c r="C18" s="1">
        <v>11413864</v>
      </c>
      <c r="D18" s="1">
        <v>13182127</v>
      </c>
      <c r="E18" s="1">
        <v>451232</v>
      </c>
      <c r="F18" s="1">
        <v>24851473</v>
      </c>
      <c r="G18" s="1">
        <v>14021717</v>
      </c>
      <c r="I18">
        <f t="shared" si="0"/>
        <v>5.2657809264820745</v>
      </c>
    </row>
    <row r="19" spans="1:9" x14ac:dyDescent="0.25">
      <c r="A19" s="1">
        <v>7032191</v>
      </c>
      <c r="B19" s="1">
        <v>10833928</v>
      </c>
      <c r="C19" s="1">
        <v>20761346</v>
      </c>
      <c r="D19" s="1">
        <v>10733928</v>
      </c>
      <c r="E19" s="1">
        <v>108050</v>
      </c>
      <c r="F19" s="1">
        <v>13729155</v>
      </c>
      <c r="G19" s="1">
        <v>11770412</v>
      </c>
      <c r="I19">
        <f>(1.2*A19/C19+1.4*B19/C19+3.3*D19/C19+0.6*E19/F19+0.999*G19/C19)</f>
        <v>3.4142665350455634</v>
      </c>
    </row>
    <row r="20" spans="1:9" x14ac:dyDescent="0.25">
      <c r="A20" s="1">
        <v>4585375</v>
      </c>
      <c r="B20" s="1">
        <v>3051865</v>
      </c>
      <c r="C20" s="1">
        <v>16049610</v>
      </c>
      <c r="D20" s="1">
        <v>2951865</v>
      </c>
      <c r="E20" s="1">
        <v>461580</v>
      </c>
      <c r="F20" s="1">
        <v>11464235</v>
      </c>
      <c r="G20" s="1">
        <v>3695361</v>
      </c>
      <c r="I20">
        <f t="shared" si="0"/>
        <v>1.4701666042188457</v>
      </c>
    </row>
    <row r="21" spans="1:9" x14ac:dyDescent="0.25">
      <c r="A21" s="1">
        <v>-5673288</v>
      </c>
      <c r="B21" s="1">
        <v>9253962</v>
      </c>
      <c r="C21" s="1">
        <v>13532916</v>
      </c>
      <c r="D21" s="1">
        <v>9153962</v>
      </c>
      <c r="E21" s="1">
        <v>250839</v>
      </c>
      <c r="F21" s="1">
        <v>19206204</v>
      </c>
      <c r="G21" s="1">
        <v>9488747</v>
      </c>
      <c r="I21">
        <f t="shared" si="0"/>
        <v>3.3947584178554155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I21"/>
  <sheetViews>
    <sheetView workbookViewId="0">
      <selection activeCell="K4" sqref="K4"/>
    </sheetView>
  </sheetViews>
  <sheetFormatPr baseColWidth="10" defaultRowHeight="15" x14ac:dyDescent="0.25"/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s="1" t="s">
        <v>10</v>
      </c>
    </row>
    <row r="2" spans="1:9" x14ac:dyDescent="0.25">
      <c r="A2" s="1">
        <v>-6311341</v>
      </c>
      <c r="B2" s="1">
        <v>12219821</v>
      </c>
      <c r="C2" s="1">
        <v>14950608</v>
      </c>
      <c r="D2" s="1">
        <v>12119821</v>
      </c>
      <c r="E2" s="1">
        <v>263374</v>
      </c>
      <c r="F2" s="1">
        <v>21261949</v>
      </c>
      <c r="G2" s="1">
        <v>12774705</v>
      </c>
      <c r="I2">
        <f>(1.2*A2/C2+1.4*B2/C2+3.3*D2/C2+0.6*E2/F2+0.999*G2/C2)</f>
        <v>4.1739169837021626</v>
      </c>
    </row>
    <row r="3" spans="1:9" x14ac:dyDescent="0.25">
      <c r="A3" s="1">
        <v>8695609</v>
      </c>
      <c r="B3" s="1">
        <v>5934684</v>
      </c>
      <c r="C3" s="1">
        <v>21803518</v>
      </c>
      <c r="D3" s="1">
        <v>5834684</v>
      </c>
      <c r="E3" s="1">
        <v>478604</v>
      </c>
      <c r="F3" s="1">
        <v>13107909</v>
      </c>
      <c r="G3" s="1">
        <v>6794410</v>
      </c>
      <c r="I3">
        <f t="shared" ref="I3:I21" si="0">(1.2*A3/C3+1.4*B3/C3+3.3*D3/C3+0.6*E3/F3+0.999*G3/C3)</f>
        <v>2.0759504603947003</v>
      </c>
    </row>
    <row r="4" spans="1:9" x14ac:dyDescent="0.25">
      <c r="A4" s="1">
        <v>11842621</v>
      </c>
      <c r="B4" s="1">
        <v>5946111</v>
      </c>
      <c r="C4" s="1">
        <v>23514900</v>
      </c>
      <c r="D4" s="1">
        <v>5846111</v>
      </c>
      <c r="E4" s="1">
        <v>445298</v>
      </c>
      <c r="F4" s="1">
        <v>11672279</v>
      </c>
      <c r="G4" s="1">
        <v>6142666</v>
      </c>
      <c r="I4">
        <f t="shared" si="0"/>
        <v>2.0626346260137094</v>
      </c>
    </row>
    <row r="5" spans="1:9" x14ac:dyDescent="0.25">
      <c r="A5" s="1">
        <v>4948429</v>
      </c>
      <c r="B5" s="1">
        <v>6452618</v>
      </c>
      <c r="C5" s="1">
        <v>23486157</v>
      </c>
      <c r="D5" s="1">
        <v>6352618</v>
      </c>
      <c r="E5" s="1">
        <v>323819</v>
      </c>
      <c r="F5" s="1">
        <v>18537728</v>
      </c>
      <c r="G5" s="1">
        <v>6902284</v>
      </c>
      <c r="I5">
        <f t="shared" si="0"/>
        <v>1.8341423982540501</v>
      </c>
    </row>
    <row r="6" spans="1:9" x14ac:dyDescent="0.25">
      <c r="A6" s="1">
        <v>-1437436</v>
      </c>
      <c r="B6" s="1">
        <v>9825695</v>
      </c>
      <c r="C6" s="1">
        <v>23468782</v>
      </c>
      <c r="D6" s="1">
        <v>9725695</v>
      </c>
      <c r="E6" s="1">
        <v>182774</v>
      </c>
      <c r="F6" s="1">
        <v>24906218</v>
      </c>
      <c r="G6" s="1">
        <v>9941860</v>
      </c>
      <c r="I6">
        <f t="shared" si="0"/>
        <v>2.3077932495717843</v>
      </c>
    </row>
    <row r="7" spans="1:9" x14ac:dyDescent="0.25">
      <c r="A7" s="1">
        <v>2658190</v>
      </c>
      <c r="B7" s="1">
        <v>5882746</v>
      </c>
      <c r="C7" s="1">
        <v>24548838</v>
      </c>
      <c r="D7" s="1">
        <v>5782746</v>
      </c>
      <c r="E7" s="1">
        <v>189074</v>
      </c>
      <c r="F7" s="1">
        <v>21890648</v>
      </c>
      <c r="G7" s="1">
        <v>6665520</v>
      </c>
      <c r="I7">
        <f t="shared" si="0"/>
        <v>1.5192087168496209</v>
      </c>
    </row>
    <row r="8" spans="1:9" x14ac:dyDescent="0.25">
      <c r="A8" s="1">
        <v>-3107811</v>
      </c>
      <c r="B8" s="1">
        <v>13189767</v>
      </c>
      <c r="C8" s="1">
        <v>15253511</v>
      </c>
      <c r="D8" s="1">
        <v>13089767</v>
      </c>
      <c r="E8" s="1">
        <v>215518</v>
      </c>
      <c r="F8" s="1">
        <v>18361322</v>
      </c>
      <c r="G8" s="1">
        <v>14021906</v>
      </c>
      <c r="I8">
        <f t="shared" si="0"/>
        <v>4.7233610434768831</v>
      </c>
    </row>
    <row r="9" spans="1:9" x14ac:dyDescent="0.25">
      <c r="A9" s="1">
        <v>-3924307</v>
      </c>
      <c r="B9" s="1">
        <v>2011386</v>
      </c>
      <c r="C9" s="1">
        <v>20764602</v>
      </c>
      <c r="D9" s="1">
        <v>1911386</v>
      </c>
      <c r="E9" s="1">
        <v>231851</v>
      </c>
      <c r="F9" s="1">
        <v>24688909</v>
      </c>
      <c r="G9" s="1">
        <v>2140499</v>
      </c>
      <c r="I9">
        <f t="shared" si="0"/>
        <v>0.32120544585633493</v>
      </c>
    </row>
    <row r="10" spans="1:9" x14ac:dyDescent="0.25">
      <c r="A10" s="1">
        <v>-299386</v>
      </c>
      <c r="B10" s="1">
        <v>9935835</v>
      </c>
      <c r="C10" s="1">
        <v>16359826</v>
      </c>
      <c r="D10" s="1">
        <v>9835835</v>
      </c>
      <c r="E10" s="1">
        <v>113945</v>
      </c>
      <c r="F10" s="1">
        <v>16659212</v>
      </c>
      <c r="G10" s="1">
        <v>10043809</v>
      </c>
      <c r="I10">
        <f t="shared" si="0"/>
        <v>3.4297470434034913</v>
      </c>
    </row>
    <row r="11" spans="1:9" x14ac:dyDescent="0.25">
      <c r="A11" s="1">
        <v>3215388</v>
      </c>
      <c r="B11" s="1">
        <v>10563993</v>
      </c>
      <c r="C11" s="1">
        <v>22907859</v>
      </c>
      <c r="D11" s="1">
        <v>10463993</v>
      </c>
      <c r="E11" s="1">
        <v>160618</v>
      </c>
      <c r="F11" s="1">
        <v>19692471</v>
      </c>
      <c r="G11" s="1">
        <v>11242611</v>
      </c>
      <c r="I11">
        <f t="shared" si="0"/>
        <v>2.8166188433304828</v>
      </c>
    </row>
    <row r="12" spans="1:9" x14ac:dyDescent="0.25">
      <c r="A12" s="1">
        <v>-1382090</v>
      </c>
      <c r="B12" s="1">
        <v>11377713</v>
      </c>
      <c r="C12" s="1">
        <v>19613743</v>
      </c>
      <c r="D12" s="1">
        <v>11277713</v>
      </c>
      <c r="E12" s="1">
        <v>436345</v>
      </c>
      <c r="F12" s="1">
        <v>20995833</v>
      </c>
      <c r="G12" s="1">
        <v>11890815</v>
      </c>
      <c r="I12">
        <f t="shared" si="0"/>
        <v>3.2431464177574241</v>
      </c>
    </row>
    <row r="13" spans="1:9" x14ac:dyDescent="0.25">
      <c r="A13" s="1">
        <v>-5527357</v>
      </c>
      <c r="B13" s="1">
        <v>2634310</v>
      </c>
      <c r="C13" s="1">
        <v>17167143</v>
      </c>
      <c r="D13" s="1">
        <v>2534310</v>
      </c>
      <c r="E13" s="1">
        <v>225513</v>
      </c>
      <c r="F13" s="1">
        <v>22694500</v>
      </c>
      <c r="G13" s="1">
        <v>3438036</v>
      </c>
      <c r="I13">
        <f t="shared" si="0"/>
        <v>0.5216581165766645</v>
      </c>
    </row>
    <row r="14" spans="1:9" x14ac:dyDescent="0.25">
      <c r="A14" s="1">
        <v>8428979</v>
      </c>
      <c r="B14" s="1">
        <v>5310524</v>
      </c>
      <c r="C14" s="1">
        <v>18437602</v>
      </c>
      <c r="D14" s="1">
        <v>5210524</v>
      </c>
      <c r="E14" s="1">
        <v>184084</v>
      </c>
      <c r="F14" s="1">
        <v>10008623</v>
      </c>
      <c r="G14" s="1">
        <v>5946934</v>
      </c>
      <c r="I14">
        <f t="shared" si="0"/>
        <v>2.2176795695351141</v>
      </c>
    </row>
    <row r="15" spans="1:9" x14ac:dyDescent="0.25">
      <c r="A15" s="1">
        <v>8631307</v>
      </c>
      <c r="B15" s="1">
        <v>4043264</v>
      </c>
      <c r="C15" s="1">
        <v>20863713</v>
      </c>
      <c r="D15" s="1">
        <v>3943264</v>
      </c>
      <c r="E15" s="1">
        <v>216505</v>
      </c>
      <c r="F15" s="1">
        <v>12232406</v>
      </c>
      <c r="G15" s="1">
        <v>5041157</v>
      </c>
      <c r="I15">
        <f t="shared" si="0"/>
        <v>1.6434557400322403</v>
      </c>
    </row>
    <row r="16" spans="1:9" x14ac:dyDescent="0.25">
      <c r="A16" s="1">
        <v>-2713308</v>
      </c>
      <c r="B16" s="1">
        <v>7931167</v>
      </c>
      <c r="C16" s="1">
        <v>10681783</v>
      </c>
      <c r="D16" s="1">
        <v>7831167</v>
      </c>
      <c r="E16" s="1">
        <v>434862</v>
      </c>
      <c r="F16" s="1">
        <v>13395091</v>
      </c>
      <c r="G16" s="1">
        <v>8042661</v>
      </c>
      <c r="I16">
        <f t="shared" si="0"/>
        <v>3.9256741578419749</v>
      </c>
    </row>
    <row r="17" spans="1:9" x14ac:dyDescent="0.25">
      <c r="A17" s="1">
        <v>-9895761</v>
      </c>
      <c r="B17" s="1">
        <v>14437013</v>
      </c>
      <c r="C17" s="1">
        <v>12930169</v>
      </c>
      <c r="D17" s="1">
        <v>14337013</v>
      </c>
      <c r="E17" s="1">
        <v>351564</v>
      </c>
      <c r="F17" s="1">
        <v>22825930</v>
      </c>
      <c r="G17" s="1">
        <v>14865971</v>
      </c>
      <c r="I17">
        <f t="shared" si="0"/>
        <v>5.4616179321218636</v>
      </c>
    </row>
    <row r="18" spans="1:9" x14ac:dyDescent="0.25">
      <c r="A18" s="1">
        <v>4022732</v>
      </c>
      <c r="B18" s="1">
        <v>11162302</v>
      </c>
      <c r="C18" s="1">
        <v>20967235</v>
      </c>
      <c r="D18" s="1">
        <v>11062302</v>
      </c>
      <c r="E18" s="1">
        <v>110548</v>
      </c>
      <c r="F18" s="1">
        <v>16944503</v>
      </c>
      <c r="G18" s="1">
        <v>11673279</v>
      </c>
      <c r="I18">
        <f t="shared" si="0"/>
        <v>3.2767209981154339</v>
      </c>
    </row>
    <row r="19" spans="1:9" x14ac:dyDescent="0.25">
      <c r="A19" s="1">
        <v>-6873012</v>
      </c>
      <c r="B19" s="1">
        <v>1468236</v>
      </c>
      <c r="C19" s="1">
        <v>16714157</v>
      </c>
      <c r="D19" s="1">
        <v>1368236</v>
      </c>
      <c r="E19" s="1">
        <v>103916</v>
      </c>
      <c r="F19" s="1">
        <v>23587169</v>
      </c>
      <c r="G19" s="1">
        <v>1876747</v>
      </c>
      <c r="I19">
        <f t="shared" si="0"/>
        <v>1.4487523577583344E-2</v>
      </c>
    </row>
    <row r="20" spans="1:9" x14ac:dyDescent="0.25">
      <c r="A20" s="1">
        <v>-8261638</v>
      </c>
      <c r="B20" s="1">
        <v>11544410</v>
      </c>
      <c r="C20" s="1">
        <v>11630330</v>
      </c>
      <c r="D20" s="1">
        <v>11444410</v>
      </c>
      <c r="E20" s="1">
        <v>226878</v>
      </c>
      <c r="F20" s="1">
        <v>19891968</v>
      </c>
      <c r="G20" s="1">
        <v>11879381</v>
      </c>
      <c r="I20">
        <f t="shared" si="0"/>
        <v>4.8117166849142317</v>
      </c>
    </row>
    <row r="21" spans="1:9" x14ac:dyDescent="0.25">
      <c r="A21" s="1">
        <v>-225852</v>
      </c>
      <c r="B21" s="1">
        <v>1566182</v>
      </c>
      <c r="C21" s="1">
        <v>19721372</v>
      </c>
      <c r="D21" s="1">
        <v>1466182</v>
      </c>
      <c r="E21" s="1">
        <v>478732</v>
      </c>
      <c r="F21" s="1">
        <v>19947224</v>
      </c>
      <c r="G21" s="1">
        <v>2268761</v>
      </c>
      <c r="I21">
        <f t="shared" si="0"/>
        <v>0.47210265997456147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I21"/>
  <sheetViews>
    <sheetView workbookViewId="0">
      <selection activeCell="A17" sqref="A17:G17"/>
    </sheetView>
  </sheetViews>
  <sheetFormatPr baseColWidth="10" defaultRowHeight="15" x14ac:dyDescent="0.25"/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s="1" t="s">
        <v>11</v>
      </c>
    </row>
    <row r="2" spans="1:9" x14ac:dyDescent="0.25">
      <c r="A2" s="1">
        <v>-2952448</v>
      </c>
      <c r="B2" s="1">
        <v>6526653</v>
      </c>
      <c r="C2" s="1">
        <v>17329098</v>
      </c>
      <c r="D2" s="1">
        <v>6426653</v>
      </c>
      <c r="E2" s="1">
        <v>295961</v>
      </c>
      <c r="F2" s="1">
        <v>20281546</v>
      </c>
      <c r="G2" s="1">
        <v>7420602</v>
      </c>
      <c r="I2">
        <f>(1.2*A2/C2+1.4*B2/C2+3.3*D2/C2+0.6*E2/F2+0.999*G2/C2)</f>
        <v>1.9832099234295399</v>
      </c>
    </row>
    <row r="3" spans="1:9" x14ac:dyDescent="0.25">
      <c r="A3" s="1">
        <v>1543361</v>
      </c>
      <c r="B3" s="1">
        <v>6638859</v>
      </c>
      <c r="C3" s="1">
        <v>21352018</v>
      </c>
      <c r="D3" s="1">
        <v>6538859</v>
      </c>
      <c r="E3" s="1">
        <v>223577</v>
      </c>
      <c r="F3" s="1">
        <v>19808657</v>
      </c>
      <c r="G3" s="1">
        <v>7089111</v>
      </c>
      <c r="I3">
        <f t="shared" ref="I3:I21" si="0">(1.2*A3/C3+1.4*B3/C3+3.3*D3/C3+0.6*E3/F3+0.999*G3/C3)</f>
        <v>1.871077964787927</v>
      </c>
    </row>
    <row r="4" spans="1:9" x14ac:dyDescent="0.25">
      <c r="A4" s="1">
        <v>-5243746</v>
      </c>
      <c r="B4" s="1">
        <v>9332375</v>
      </c>
      <c r="C4" s="1">
        <v>19695101</v>
      </c>
      <c r="D4" s="1">
        <v>9232375</v>
      </c>
      <c r="E4" s="1">
        <v>494116</v>
      </c>
      <c r="F4" s="1">
        <v>24938847</v>
      </c>
      <c r="G4" s="1">
        <v>9470754</v>
      </c>
      <c r="I4">
        <f t="shared" si="0"/>
        <v>2.3830841594167103</v>
      </c>
    </row>
    <row r="5" spans="1:9" x14ac:dyDescent="0.25">
      <c r="A5" s="1">
        <v>-10634262</v>
      </c>
      <c r="B5" s="1">
        <v>6572345</v>
      </c>
      <c r="C5" s="1">
        <v>12962398</v>
      </c>
      <c r="D5" s="1">
        <v>6472345</v>
      </c>
      <c r="E5" s="1">
        <v>274535</v>
      </c>
      <c r="F5" s="1">
        <v>23596660</v>
      </c>
      <c r="G5" s="1">
        <v>7083771</v>
      </c>
      <c r="I5">
        <f t="shared" si="0"/>
        <v>1.9260387490340212</v>
      </c>
    </row>
    <row r="6" spans="1:9" x14ac:dyDescent="0.25">
      <c r="A6" s="1">
        <v>5675282</v>
      </c>
      <c r="B6" s="1">
        <v>8399156</v>
      </c>
      <c r="C6" s="1">
        <v>17984770</v>
      </c>
      <c r="D6" s="1">
        <v>8299156</v>
      </c>
      <c r="E6" s="1">
        <v>464276</v>
      </c>
      <c r="F6" s="1">
        <v>12309488</v>
      </c>
      <c r="G6" s="1">
        <v>8596679</v>
      </c>
      <c r="I6">
        <f t="shared" si="0"/>
        <v>3.0554436905480218</v>
      </c>
    </row>
    <row r="7" spans="1:9" x14ac:dyDescent="0.25">
      <c r="A7" s="1">
        <v>5912342</v>
      </c>
      <c r="B7" s="1">
        <v>13029767</v>
      </c>
      <c r="C7" s="1">
        <v>17336875</v>
      </c>
      <c r="D7" s="1">
        <v>12929767</v>
      </c>
      <c r="E7" s="1">
        <v>170608</v>
      </c>
      <c r="F7" s="1">
        <v>11424533</v>
      </c>
      <c r="G7" s="1">
        <v>13766054</v>
      </c>
      <c r="I7">
        <f t="shared" si="0"/>
        <v>4.7247467112566817</v>
      </c>
    </row>
    <row r="8" spans="1:9" x14ac:dyDescent="0.25">
      <c r="A8" s="1">
        <v>-1273462</v>
      </c>
      <c r="B8" s="1">
        <v>2532301</v>
      </c>
      <c r="C8" s="1">
        <v>14262889</v>
      </c>
      <c r="D8" s="1">
        <v>2432301</v>
      </c>
      <c r="E8" s="1">
        <v>302741</v>
      </c>
      <c r="F8" s="1">
        <v>15536351</v>
      </c>
      <c r="G8" s="1">
        <v>3461521</v>
      </c>
      <c r="I8">
        <f t="shared" si="0"/>
        <v>0.95832447319648262</v>
      </c>
    </row>
    <row r="9" spans="1:9" x14ac:dyDescent="0.25">
      <c r="A9" s="1">
        <v>-2703333</v>
      </c>
      <c r="B9" s="1">
        <v>5781080</v>
      </c>
      <c r="C9" s="1">
        <v>13847753</v>
      </c>
      <c r="D9" s="1">
        <v>5681080</v>
      </c>
      <c r="E9" s="1">
        <v>144752</v>
      </c>
      <c r="F9" s="1">
        <v>16551086</v>
      </c>
      <c r="G9" s="1">
        <v>5983331</v>
      </c>
      <c r="I9">
        <f t="shared" si="0"/>
        <v>2.1409314298837483</v>
      </c>
    </row>
    <row r="10" spans="1:9" x14ac:dyDescent="0.25">
      <c r="A10" s="1">
        <v>11531803</v>
      </c>
      <c r="B10" s="1">
        <v>13246470</v>
      </c>
      <c r="C10" s="1">
        <v>24683986</v>
      </c>
      <c r="D10" s="1">
        <v>13146470</v>
      </c>
      <c r="E10" s="1">
        <v>303524</v>
      </c>
      <c r="F10" s="1">
        <v>13152183</v>
      </c>
      <c r="G10" s="1">
        <v>13955952</v>
      </c>
      <c r="I10">
        <f t="shared" si="0"/>
        <v>3.6481288120937552</v>
      </c>
    </row>
    <row r="11" spans="1:9" x14ac:dyDescent="0.25">
      <c r="A11" s="1">
        <v>-127677</v>
      </c>
      <c r="B11" s="1">
        <v>4905012</v>
      </c>
      <c r="C11" s="1">
        <v>20800746</v>
      </c>
      <c r="D11" s="1">
        <v>4805012</v>
      </c>
      <c r="E11" s="1">
        <v>463601</v>
      </c>
      <c r="F11" s="1">
        <v>20928423</v>
      </c>
      <c r="G11" s="1">
        <v>5554072</v>
      </c>
      <c r="I11">
        <f t="shared" si="0"/>
        <v>1.3651109228159393</v>
      </c>
    </row>
    <row r="12" spans="1:9" x14ac:dyDescent="0.25">
      <c r="A12" s="1">
        <v>-1120625</v>
      </c>
      <c r="B12" s="1">
        <v>9730429</v>
      </c>
      <c r="C12" s="1">
        <v>12657304</v>
      </c>
      <c r="D12" s="1">
        <v>9630429</v>
      </c>
      <c r="E12" s="1">
        <v>416987</v>
      </c>
      <c r="F12" s="1">
        <v>13777929</v>
      </c>
      <c r="G12" s="1">
        <v>10256672</v>
      </c>
      <c r="I12">
        <f t="shared" si="0"/>
        <v>4.3085418899048795</v>
      </c>
    </row>
    <row r="13" spans="1:9" x14ac:dyDescent="0.25">
      <c r="A13" s="1">
        <v>2649626</v>
      </c>
      <c r="B13" s="1">
        <v>5619720</v>
      </c>
      <c r="C13" s="1">
        <v>16789369</v>
      </c>
      <c r="D13" s="1">
        <v>5519720</v>
      </c>
      <c r="E13" s="1">
        <v>158010</v>
      </c>
      <c r="F13" s="1">
        <v>14139743</v>
      </c>
      <c r="G13" s="1">
        <v>5972295</v>
      </c>
      <c r="I13">
        <f t="shared" si="0"/>
        <v>2.1049706790223057</v>
      </c>
    </row>
    <row r="14" spans="1:9" x14ac:dyDescent="0.25">
      <c r="A14" s="1">
        <v>190510</v>
      </c>
      <c r="B14" s="1">
        <v>701461</v>
      </c>
      <c r="C14" s="1">
        <v>15147681</v>
      </c>
      <c r="D14" s="1">
        <v>601461</v>
      </c>
      <c r="E14" s="1">
        <v>117172</v>
      </c>
      <c r="F14" s="1">
        <v>14957171</v>
      </c>
      <c r="G14" s="1">
        <v>1071900</v>
      </c>
      <c r="I14">
        <f t="shared" si="0"/>
        <v>0.28634782144339632</v>
      </c>
    </row>
    <row r="15" spans="1:9" x14ac:dyDescent="0.25">
      <c r="A15" s="1">
        <v>9346037</v>
      </c>
      <c r="B15" s="1">
        <v>13186318</v>
      </c>
      <c r="C15" s="1">
        <v>19394753</v>
      </c>
      <c r="D15" s="1">
        <v>13086318</v>
      </c>
      <c r="E15" s="1">
        <v>317675</v>
      </c>
      <c r="F15" s="1">
        <v>10048716</v>
      </c>
      <c r="G15" s="1">
        <v>13907812</v>
      </c>
      <c r="I15">
        <f t="shared" si="0"/>
        <v>4.4920770429999095</v>
      </c>
    </row>
    <row r="16" spans="1:9" x14ac:dyDescent="0.25">
      <c r="A16" s="1">
        <v>-7959666</v>
      </c>
      <c r="B16" s="1">
        <v>8159588</v>
      </c>
      <c r="C16" s="1">
        <v>12550453</v>
      </c>
      <c r="D16" s="1">
        <v>8059588</v>
      </c>
      <c r="E16" s="1">
        <v>448773</v>
      </c>
      <c r="F16" s="1">
        <v>20510119</v>
      </c>
      <c r="G16" s="1">
        <v>8465488</v>
      </c>
      <c r="I16">
        <f t="shared" si="0"/>
        <v>2.9552920134873064</v>
      </c>
    </row>
    <row r="17" spans="1:9" x14ac:dyDescent="0.25">
      <c r="A17" s="1">
        <v>-12912119</v>
      </c>
      <c r="B17" s="1">
        <v>8507030</v>
      </c>
      <c r="C17" s="1">
        <v>11007748</v>
      </c>
      <c r="D17" s="1">
        <v>8407030</v>
      </c>
      <c r="E17" s="1">
        <v>481935</v>
      </c>
      <c r="F17" s="1">
        <v>23919867</v>
      </c>
      <c r="G17" s="1">
        <v>9227676</v>
      </c>
      <c r="I17">
        <f t="shared" si="0"/>
        <v>3.0442208799809389</v>
      </c>
    </row>
    <row r="18" spans="1:9" x14ac:dyDescent="0.25">
      <c r="A18" s="1">
        <v>5220520</v>
      </c>
      <c r="B18" s="1">
        <v>3143929</v>
      </c>
      <c r="C18" s="1">
        <v>21746643</v>
      </c>
      <c r="D18" s="1">
        <v>3043929</v>
      </c>
      <c r="E18" s="1">
        <v>278393</v>
      </c>
      <c r="F18" s="1">
        <v>16526123</v>
      </c>
      <c r="G18" s="1">
        <v>4047922</v>
      </c>
      <c r="I18">
        <f t="shared" si="0"/>
        <v>1.1484423575551597</v>
      </c>
    </row>
    <row r="19" spans="1:9" x14ac:dyDescent="0.25">
      <c r="A19" s="1">
        <v>-3704886</v>
      </c>
      <c r="B19" s="1">
        <v>7581114</v>
      </c>
      <c r="C19" s="1">
        <v>20640504</v>
      </c>
      <c r="D19" s="1">
        <v>7481114</v>
      </c>
      <c r="E19" s="1">
        <v>223073</v>
      </c>
      <c r="F19" s="1">
        <v>24345390</v>
      </c>
      <c r="G19" s="1">
        <v>7889934</v>
      </c>
      <c r="I19">
        <f t="shared" si="0"/>
        <v>1.8822647010704068</v>
      </c>
    </row>
    <row r="20" spans="1:9" x14ac:dyDescent="0.25">
      <c r="A20" s="1">
        <v>1331058</v>
      </c>
      <c r="B20" s="1">
        <v>5193889</v>
      </c>
      <c r="C20" s="1">
        <v>15605653</v>
      </c>
      <c r="D20" s="1">
        <v>5093889</v>
      </c>
      <c r="E20" s="1">
        <v>260482</v>
      </c>
      <c r="F20" s="1">
        <v>14274595</v>
      </c>
      <c r="G20" s="1">
        <v>5580003</v>
      </c>
      <c r="I20">
        <f t="shared" si="0"/>
        <v>2.013618625221075</v>
      </c>
    </row>
    <row r="21" spans="1:9" x14ac:dyDescent="0.25">
      <c r="A21" s="1">
        <v>575770</v>
      </c>
      <c r="B21" s="1">
        <v>5416779</v>
      </c>
      <c r="C21" s="1">
        <v>15557689</v>
      </c>
      <c r="D21" s="1">
        <v>5316779</v>
      </c>
      <c r="E21" s="1">
        <v>406955</v>
      </c>
      <c r="F21" s="1">
        <v>14981919</v>
      </c>
      <c r="G21" s="1">
        <v>5874074</v>
      </c>
      <c r="I21">
        <f t="shared" si="0"/>
        <v>2.0531032620885488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E21"/>
  <sheetViews>
    <sheetView workbookViewId="0">
      <selection sqref="A1:E21"/>
    </sheetView>
  </sheetViews>
  <sheetFormatPr baseColWidth="10" defaultRowHeight="15" x14ac:dyDescent="0.25"/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f>A!I2</f>
        <v>3.7256642357577867</v>
      </c>
      <c r="B2">
        <f>B!I2</f>
        <v>2.4137014122299512</v>
      </c>
      <c r="C2">
        <f>'C'!I2</f>
        <v>2.9483925803838331</v>
      </c>
      <c r="D2">
        <f>D!I2</f>
        <v>4.1739169837021626</v>
      </c>
      <c r="E2">
        <f>E!I2</f>
        <v>1.9832099234295399</v>
      </c>
    </row>
    <row r="3" spans="1:5" x14ac:dyDescent="0.25">
      <c r="A3">
        <f>A!I3</f>
        <v>2.022815501124966</v>
      </c>
      <c r="B3">
        <f>B!I3</f>
        <v>2.8205031348194876</v>
      </c>
      <c r="C3">
        <f>'C'!I3</f>
        <v>2.7667081584741604</v>
      </c>
      <c r="D3">
        <f>D!I3</f>
        <v>2.0759504603947003</v>
      </c>
      <c r="E3">
        <f>E!I3</f>
        <v>1.871077964787927</v>
      </c>
    </row>
    <row r="4" spans="1:5" x14ac:dyDescent="0.25">
      <c r="A4">
        <f>A!I4</f>
        <v>1.0524954660427448</v>
      </c>
      <c r="B4">
        <f>B!I4</f>
        <v>3.5652233632736023</v>
      </c>
      <c r="C4">
        <f>'C'!I4</f>
        <v>1.4511764045879667</v>
      </c>
      <c r="D4">
        <f>D!I4</f>
        <v>2.0626346260137094</v>
      </c>
      <c r="E4">
        <f>E!I4</f>
        <v>2.3830841594167103</v>
      </c>
    </row>
    <row r="5" spans="1:5" x14ac:dyDescent="0.25">
      <c r="A5">
        <f>A!I5</f>
        <v>5.4192872754814463</v>
      </c>
      <c r="B5">
        <f>B!I5</f>
        <v>-0.36182077860307343</v>
      </c>
      <c r="C5">
        <f>'C'!I5</f>
        <v>2.9527610893913412</v>
      </c>
      <c r="D5">
        <f>D!I5</f>
        <v>1.8341423982540501</v>
      </c>
      <c r="E5">
        <f>E!I5</f>
        <v>1.9260387490340212</v>
      </c>
    </row>
    <row r="6" spans="1:5" x14ac:dyDescent="0.25">
      <c r="A6">
        <f>A!I6</f>
        <v>3.4672294700908628</v>
      </c>
      <c r="B6">
        <f>B!I6</f>
        <v>0.27851368457977788</v>
      </c>
      <c r="C6">
        <f>'C'!I6</f>
        <v>3.6642277792858002</v>
      </c>
      <c r="D6">
        <f>D!I6</f>
        <v>2.3077932495717843</v>
      </c>
      <c r="E6">
        <f>E!I6</f>
        <v>3.0554436905480218</v>
      </c>
    </row>
    <row r="7" spans="1:5" x14ac:dyDescent="0.25">
      <c r="A7">
        <f>A!I7</f>
        <v>2.4969501235423688</v>
      </c>
      <c r="B7">
        <f>B!I7</f>
        <v>2.8743007905340838</v>
      </c>
      <c r="C7">
        <f>'C'!I7</f>
        <v>3.6008049353909151</v>
      </c>
      <c r="D7">
        <f>D!I7</f>
        <v>1.5192087168496209</v>
      </c>
      <c r="E7">
        <f>E!I7</f>
        <v>4.7247467112566817</v>
      </c>
    </row>
    <row r="8" spans="1:5" x14ac:dyDescent="0.25">
      <c r="A8">
        <f>A!I8</f>
        <v>2.5531636799767976</v>
      </c>
      <c r="B8">
        <f>B!I8</f>
        <v>4.3861017546052743</v>
      </c>
      <c r="C8">
        <f>'C'!I8</f>
        <v>1.2714110296843359</v>
      </c>
      <c r="D8">
        <f>D!I8</f>
        <v>4.7233610434768831</v>
      </c>
      <c r="E8">
        <f>E!I8</f>
        <v>0.95832447319648262</v>
      </c>
    </row>
    <row r="9" spans="1:5" x14ac:dyDescent="0.25">
      <c r="A9">
        <f>A!I9</f>
        <v>1.3520263893393645</v>
      </c>
      <c r="B9">
        <f>B!I9</f>
        <v>3.0959086029659644</v>
      </c>
      <c r="C9">
        <f>'C'!I9</f>
        <v>4.1120273768929874</v>
      </c>
      <c r="D9">
        <f>D!I9</f>
        <v>0.32120544585633493</v>
      </c>
      <c r="E9">
        <f>E!I9</f>
        <v>2.1409314298837483</v>
      </c>
    </row>
    <row r="10" spans="1:5" x14ac:dyDescent="0.25">
      <c r="A10">
        <f>A!I10</f>
        <v>1.9715535379088278</v>
      </c>
      <c r="B10">
        <f>B!I10</f>
        <v>4.4180015014373462</v>
      </c>
      <c r="C10">
        <f>'C'!I10</f>
        <v>1.9469759979674781</v>
      </c>
      <c r="D10">
        <f>D!I10</f>
        <v>3.4297470434034913</v>
      </c>
      <c r="E10">
        <f>E!I10</f>
        <v>3.6481288120937552</v>
      </c>
    </row>
    <row r="11" spans="1:5" x14ac:dyDescent="0.25">
      <c r="A11">
        <f>A!I11</f>
        <v>4.1230445131669917</v>
      </c>
      <c r="B11">
        <f>B!I11</f>
        <v>2.1980203761131691</v>
      </c>
      <c r="C11">
        <f>'C'!I11</f>
        <v>1.8111439104938638</v>
      </c>
      <c r="D11">
        <f>D!I11</f>
        <v>2.8166188433304828</v>
      </c>
      <c r="E11">
        <f>E!I11</f>
        <v>1.3651109228159393</v>
      </c>
    </row>
    <row r="12" spans="1:5" x14ac:dyDescent="0.25">
      <c r="A12">
        <f>A!I12</f>
        <v>0.68745299725557463</v>
      </c>
      <c r="B12">
        <f>B!I12</f>
        <v>3.1656267793836772</v>
      </c>
      <c r="C12">
        <f>'C'!I12</f>
        <v>2.3347155483481732</v>
      </c>
      <c r="D12">
        <f>D!I12</f>
        <v>3.2431464177574241</v>
      </c>
      <c r="E12">
        <f>E!I12</f>
        <v>4.3085418899048795</v>
      </c>
    </row>
    <row r="13" spans="1:5" x14ac:dyDescent="0.25">
      <c r="A13">
        <f>A!I13</f>
        <v>1.7693206625034374</v>
      </c>
      <c r="B13">
        <f>B!I13</f>
        <v>4.7870490154336096</v>
      </c>
      <c r="C13">
        <f>'C'!I13</f>
        <v>1.0297422458274885</v>
      </c>
      <c r="D13">
        <f>D!I13</f>
        <v>0.5216581165766645</v>
      </c>
      <c r="E13">
        <f>E!I13</f>
        <v>2.1049706790223057</v>
      </c>
    </row>
    <row r="14" spans="1:5" x14ac:dyDescent="0.25">
      <c r="A14">
        <f>A!I14</f>
        <v>1.1813897705145358</v>
      </c>
      <c r="B14">
        <f>B!I14</f>
        <v>1.7794226058818552</v>
      </c>
      <c r="C14">
        <f>'C'!I14</f>
        <v>4.1155364104236849</v>
      </c>
      <c r="D14">
        <f>D!I14</f>
        <v>2.2176795695351141</v>
      </c>
      <c r="E14">
        <f>E!I14</f>
        <v>0.28634782144339632</v>
      </c>
    </row>
    <row r="15" spans="1:5" x14ac:dyDescent="0.25">
      <c r="A15">
        <f>A!I15</f>
        <v>0.67225230100045819</v>
      </c>
      <c r="B15">
        <f>B!I15</f>
        <v>2.1461522138097839</v>
      </c>
      <c r="C15">
        <f>'C'!I15</f>
        <v>2.4772210291376418</v>
      </c>
      <c r="D15">
        <f>D!I15</f>
        <v>1.6434557400322403</v>
      </c>
      <c r="E15">
        <f>E!I15</f>
        <v>4.4920770429999095</v>
      </c>
    </row>
    <row r="16" spans="1:5" x14ac:dyDescent="0.25">
      <c r="A16">
        <f>A!I16</f>
        <v>2.7409627818064166</v>
      </c>
      <c r="B16">
        <f>B!I16</f>
        <v>3.6417554704447808</v>
      </c>
      <c r="C16">
        <f>'C'!I16</f>
        <v>3.2721716221007058</v>
      </c>
      <c r="D16">
        <f>D!I16</f>
        <v>3.9256741578419749</v>
      </c>
      <c r="E16">
        <f>E!I16</f>
        <v>2.9552920134873064</v>
      </c>
    </row>
    <row r="17" spans="1:5" x14ac:dyDescent="0.25">
      <c r="A17">
        <f>A!I17</f>
        <v>2.962811409238447</v>
      </c>
      <c r="B17">
        <f>B!I17</f>
        <v>0.92058455878652834</v>
      </c>
      <c r="C17">
        <f>'C'!I17</f>
        <v>-0.84737226122611009</v>
      </c>
      <c r="D17">
        <f>D!I17</f>
        <v>5.4616179321218636</v>
      </c>
      <c r="E17">
        <f>E!I17</f>
        <v>3.0442208799809389</v>
      </c>
    </row>
    <row r="18" spans="1:5" x14ac:dyDescent="0.25">
      <c r="A18">
        <f>A!I18</f>
        <v>3.5286206172189396</v>
      </c>
      <c r="B18">
        <f>B!I18</f>
        <v>2.747930528978245</v>
      </c>
      <c r="C18">
        <f>'C'!I18</f>
        <v>5.2657809264820745</v>
      </c>
      <c r="D18">
        <f>D!I18</f>
        <v>3.2767209981154339</v>
      </c>
      <c r="E18">
        <f>E!I18</f>
        <v>1.1484423575551597</v>
      </c>
    </row>
    <row r="19" spans="1:5" x14ac:dyDescent="0.25">
      <c r="A19">
        <f>A!I19</f>
        <v>1.9019956661183675</v>
      </c>
      <c r="B19">
        <f>B!I19</f>
        <v>1.0453681702725737</v>
      </c>
      <c r="C19">
        <f>'C'!I19</f>
        <v>3.4142665350455634</v>
      </c>
      <c r="D19">
        <f>D!I19</f>
        <v>1.4487523577583344E-2</v>
      </c>
      <c r="E19">
        <f>E!I19</f>
        <v>1.8822647010704068</v>
      </c>
    </row>
    <row r="20" spans="1:5" x14ac:dyDescent="0.25">
      <c r="A20">
        <f>A!I20</f>
        <v>3.1514402150388876</v>
      </c>
      <c r="B20">
        <f>B!I20</f>
        <v>4.5444856009559746</v>
      </c>
      <c r="C20">
        <f>'C'!I20</f>
        <v>1.4701666042188457</v>
      </c>
      <c r="D20">
        <f>D!I20</f>
        <v>4.8117166849142317</v>
      </c>
      <c r="E20">
        <f>E!I20</f>
        <v>2.013618625221075</v>
      </c>
    </row>
    <row r="21" spans="1:5" x14ac:dyDescent="0.25">
      <c r="A21">
        <f>A!I21</f>
        <v>0.45246067042608756</v>
      </c>
      <c r="B21">
        <f>B!I21</f>
        <v>2.5016483353282704</v>
      </c>
      <c r="C21">
        <f>'C'!I21</f>
        <v>3.3947584178554155</v>
      </c>
      <c r="D21">
        <f>D!I21</f>
        <v>0.47210265997456147</v>
      </c>
      <c r="E21">
        <f>E!I21</f>
        <v>2.0531032620885488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E21"/>
  <sheetViews>
    <sheetView tabSelected="1" workbookViewId="0">
      <selection activeCell="J12" sqref="J12"/>
    </sheetView>
  </sheetViews>
  <sheetFormatPr baseColWidth="10" defaultRowHeight="15" x14ac:dyDescent="0.25"/>
  <sheetData>
    <row r="1" spans="1:5" x14ac:dyDescent="0.25">
      <c r="A1" t="str">
        <f>Zone!A1</f>
        <v>ZoneA</v>
      </c>
      <c r="B1" t="str">
        <f>Zone!B1</f>
        <v>Zone B</v>
      </c>
      <c r="C1" t="str">
        <f>Zone!C1</f>
        <v>Zone C</v>
      </c>
      <c r="D1" t="str">
        <f>Zone!D1</f>
        <v>Zone D</v>
      </c>
      <c r="E1" t="str">
        <f>Zone!E1</f>
        <v>Zone E</v>
      </c>
    </row>
    <row r="2" spans="1:5" x14ac:dyDescent="0.25">
      <c r="A2">
        <f>Zone!A2</f>
        <v>3.7256642357577867</v>
      </c>
      <c r="B2">
        <f>Zone!B2</f>
        <v>2.4137014122299512</v>
      </c>
      <c r="C2">
        <f>Zone!C2</f>
        <v>2.9483925803838331</v>
      </c>
      <c r="D2">
        <f>Zone!D2</f>
        <v>4.1739169837021626</v>
      </c>
      <c r="E2">
        <f>Zone!E2</f>
        <v>1.9832099234295399</v>
      </c>
    </row>
    <row r="3" spans="1:5" x14ac:dyDescent="0.25">
      <c r="A3">
        <f>Zone!A3</f>
        <v>2.022815501124966</v>
      </c>
      <c r="B3">
        <f>Zone!B3</f>
        <v>2.8205031348194876</v>
      </c>
      <c r="C3">
        <f>Zone!C3</f>
        <v>2.7667081584741604</v>
      </c>
      <c r="D3">
        <f>Zone!D3</f>
        <v>2.0759504603947003</v>
      </c>
      <c r="E3">
        <f>Zone!E3</f>
        <v>1.871077964787927</v>
      </c>
    </row>
    <row r="4" spans="1:5" x14ac:dyDescent="0.25">
      <c r="A4">
        <f>Zone!A4</f>
        <v>1.0524954660427448</v>
      </c>
      <c r="B4">
        <f>Zone!B4</f>
        <v>3.5652233632736023</v>
      </c>
      <c r="C4">
        <f>Zone!C4</f>
        <v>1.4511764045879667</v>
      </c>
      <c r="D4">
        <f>Zone!D4</f>
        <v>2.0626346260137094</v>
      </c>
      <c r="E4">
        <f>Zone!E4</f>
        <v>2.3830841594167103</v>
      </c>
    </row>
    <row r="5" spans="1:5" x14ac:dyDescent="0.25">
      <c r="A5">
        <f>Zone!A5</f>
        <v>5.4192872754814463</v>
      </c>
      <c r="B5">
        <f>Zone!B5</f>
        <v>-0.36182077860307343</v>
      </c>
      <c r="C5">
        <f>Zone!C5</f>
        <v>2.9527610893913412</v>
      </c>
      <c r="D5">
        <f>Zone!D5</f>
        <v>1.8341423982540501</v>
      </c>
      <c r="E5">
        <f>Zone!E5</f>
        <v>1.9260387490340212</v>
      </c>
    </row>
    <row r="6" spans="1:5" x14ac:dyDescent="0.25">
      <c r="A6">
        <f>Zone!A6</f>
        <v>3.4672294700908628</v>
      </c>
      <c r="B6">
        <f>Zone!B6</f>
        <v>0.27851368457977788</v>
      </c>
      <c r="C6">
        <f>Zone!C6</f>
        <v>3.6642277792858002</v>
      </c>
      <c r="D6">
        <f>Zone!D6</f>
        <v>2.3077932495717843</v>
      </c>
      <c r="E6">
        <f>Zone!E6</f>
        <v>3.0554436905480218</v>
      </c>
    </row>
    <row r="7" spans="1:5" x14ac:dyDescent="0.25">
      <c r="A7">
        <f>Zone!A7</f>
        <v>2.4969501235423688</v>
      </c>
      <c r="B7">
        <f>Zone!B7</f>
        <v>2.8743007905340838</v>
      </c>
      <c r="C7">
        <f>Zone!C7</f>
        <v>3.6008049353909151</v>
      </c>
      <c r="D7">
        <f>Zone!D7</f>
        <v>1.5192087168496209</v>
      </c>
      <c r="E7">
        <f>Zone!E7</f>
        <v>4.7247467112566817</v>
      </c>
    </row>
    <row r="8" spans="1:5" x14ac:dyDescent="0.25">
      <c r="A8">
        <f>Zone!A8</f>
        <v>2.5531636799767976</v>
      </c>
      <c r="B8">
        <f>Zone!B8</f>
        <v>4.3861017546052743</v>
      </c>
      <c r="C8">
        <f>Zone!C8</f>
        <v>1.2714110296843359</v>
      </c>
      <c r="D8">
        <f>Zone!D8</f>
        <v>4.7233610434768831</v>
      </c>
      <c r="E8">
        <f>Zone!E8</f>
        <v>0.95832447319648262</v>
      </c>
    </row>
    <row r="9" spans="1:5" x14ac:dyDescent="0.25">
      <c r="A9">
        <f>Zone!A9</f>
        <v>1.3520263893393645</v>
      </c>
      <c r="B9">
        <f>Zone!B9</f>
        <v>3.0959086029659644</v>
      </c>
      <c r="C9">
        <f>Zone!C9</f>
        <v>4.1120273768929874</v>
      </c>
      <c r="D9">
        <f>Zone!D9</f>
        <v>0.32120544585633493</v>
      </c>
      <c r="E9">
        <f>Zone!E9</f>
        <v>2.1409314298837483</v>
      </c>
    </row>
    <row r="10" spans="1:5" x14ac:dyDescent="0.25">
      <c r="A10">
        <f>Zone!A10</f>
        <v>1.9715535379088278</v>
      </c>
      <c r="B10">
        <f>Zone!B10</f>
        <v>4.4180015014373462</v>
      </c>
      <c r="C10">
        <f>Zone!C10</f>
        <v>1.9469759979674781</v>
      </c>
      <c r="D10">
        <f>Zone!D10</f>
        <v>3.4297470434034913</v>
      </c>
      <c r="E10">
        <f>Zone!E10</f>
        <v>3.6481288120937552</v>
      </c>
    </row>
    <row r="11" spans="1:5" x14ac:dyDescent="0.25">
      <c r="A11">
        <f>Zone!A11</f>
        <v>4.1230445131669917</v>
      </c>
      <c r="B11">
        <f>Zone!B11</f>
        <v>2.1980203761131691</v>
      </c>
      <c r="C11">
        <f>Zone!C11</f>
        <v>1.8111439104938638</v>
      </c>
      <c r="D11">
        <f>Zone!D11</f>
        <v>2.8166188433304828</v>
      </c>
      <c r="E11">
        <f>Zone!E11</f>
        <v>1.3651109228159393</v>
      </c>
    </row>
    <row r="12" spans="1:5" x14ac:dyDescent="0.25">
      <c r="A12">
        <f>Zone!A12</f>
        <v>0.68745299725557463</v>
      </c>
      <c r="B12">
        <f>Zone!B12</f>
        <v>3.1656267793836772</v>
      </c>
      <c r="C12">
        <f>Zone!C12</f>
        <v>2.3347155483481732</v>
      </c>
      <c r="D12">
        <f>Zone!D12</f>
        <v>3.2431464177574241</v>
      </c>
      <c r="E12">
        <f>Zone!E12</f>
        <v>4.3085418899048795</v>
      </c>
    </row>
    <row r="13" spans="1:5" x14ac:dyDescent="0.25">
      <c r="A13">
        <f>Zone!A13</f>
        <v>1.7693206625034374</v>
      </c>
      <c r="B13">
        <f>Zone!B13</f>
        <v>4.7870490154336096</v>
      </c>
      <c r="C13">
        <f>Zone!C13</f>
        <v>1.0297422458274885</v>
      </c>
      <c r="D13">
        <f>Zone!D13</f>
        <v>0.5216581165766645</v>
      </c>
      <c r="E13">
        <f>Zone!E13</f>
        <v>2.1049706790223057</v>
      </c>
    </row>
    <row r="14" spans="1:5" x14ac:dyDescent="0.25">
      <c r="A14">
        <f>Zone!A14</f>
        <v>1.1813897705145358</v>
      </c>
      <c r="B14">
        <f>Zone!B14</f>
        <v>1.7794226058818552</v>
      </c>
      <c r="C14">
        <f>Zone!C14</f>
        <v>4.1155364104236849</v>
      </c>
      <c r="D14">
        <f>Zone!D14</f>
        <v>2.2176795695351141</v>
      </c>
      <c r="E14">
        <f>Zone!E14</f>
        <v>0.28634782144339632</v>
      </c>
    </row>
    <row r="15" spans="1:5" x14ac:dyDescent="0.25">
      <c r="A15">
        <f>Zone!A15</f>
        <v>0.67225230100045819</v>
      </c>
      <c r="B15">
        <f>Zone!B15</f>
        <v>2.1461522138097839</v>
      </c>
      <c r="C15">
        <f>Zone!C15</f>
        <v>2.4772210291376418</v>
      </c>
      <c r="D15">
        <f>Zone!D15</f>
        <v>1.6434557400322403</v>
      </c>
      <c r="E15">
        <f>Zone!E15</f>
        <v>4.4920770429999095</v>
      </c>
    </row>
    <row r="16" spans="1:5" x14ac:dyDescent="0.25">
      <c r="A16">
        <f>Zone!A16</f>
        <v>2.7409627818064166</v>
      </c>
      <c r="B16">
        <f>Zone!B16</f>
        <v>3.6417554704447808</v>
      </c>
      <c r="C16">
        <f>Zone!C16</f>
        <v>3.2721716221007058</v>
      </c>
      <c r="D16">
        <f>Zone!D16</f>
        <v>3.9256741578419749</v>
      </c>
      <c r="E16">
        <f>Zone!E16</f>
        <v>2.9552920134873064</v>
      </c>
    </row>
    <row r="17" spans="1:5" x14ac:dyDescent="0.25">
      <c r="A17">
        <f>Zone!A17</f>
        <v>2.962811409238447</v>
      </c>
      <c r="B17">
        <f>Zone!B17</f>
        <v>0.92058455878652834</v>
      </c>
      <c r="C17">
        <f>Zone!C17</f>
        <v>-0.84737226122611009</v>
      </c>
      <c r="D17">
        <f>Zone!D17</f>
        <v>5.4616179321218636</v>
      </c>
      <c r="E17">
        <f>Zone!E17</f>
        <v>3.0442208799809389</v>
      </c>
    </row>
    <row r="18" spans="1:5" x14ac:dyDescent="0.25">
      <c r="A18">
        <f>Zone!A18</f>
        <v>3.5286206172189396</v>
      </c>
      <c r="B18">
        <f>Zone!B18</f>
        <v>2.747930528978245</v>
      </c>
      <c r="C18">
        <f>Zone!C18</f>
        <v>5.2657809264820745</v>
      </c>
      <c r="D18">
        <f>Zone!D18</f>
        <v>3.2767209981154339</v>
      </c>
      <c r="E18">
        <f>Zone!E18</f>
        <v>1.1484423575551597</v>
      </c>
    </row>
    <row r="19" spans="1:5" x14ac:dyDescent="0.25">
      <c r="A19">
        <f>Zone!A19</f>
        <v>1.9019956661183675</v>
      </c>
      <c r="B19">
        <f>Zone!B19</f>
        <v>1.0453681702725737</v>
      </c>
      <c r="C19">
        <f>Zone!C19</f>
        <v>3.4142665350455634</v>
      </c>
      <c r="D19">
        <f>Zone!D19</f>
        <v>1.4487523577583344E-2</v>
      </c>
      <c r="E19">
        <f>Zone!E19</f>
        <v>1.8822647010704068</v>
      </c>
    </row>
    <row r="20" spans="1:5" x14ac:dyDescent="0.25">
      <c r="A20">
        <f>Zone!A20</f>
        <v>3.1514402150388876</v>
      </c>
      <c r="B20">
        <f>Zone!B20</f>
        <v>4.5444856009559746</v>
      </c>
      <c r="C20">
        <f>Zone!C20</f>
        <v>1.4701666042188457</v>
      </c>
      <c r="D20">
        <f>Zone!D20</f>
        <v>4.8117166849142317</v>
      </c>
      <c r="E20">
        <f>Zone!E20</f>
        <v>2.013618625221075</v>
      </c>
    </row>
    <row r="21" spans="1:5" x14ac:dyDescent="0.25">
      <c r="A21">
        <f>Zone!A21</f>
        <v>0.45246067042608756</v>
      </c>
      <c r="B21">
        <f>Zone!B21</f>
        <v>2.5016483353282704</v>
      </c>
      <c r="C21">
        <f>Zone!C21</f>
        <v>3.3947584178554155</v>
      </c>
      <c r="D21">
        <f>Zone!D21</f>
        <v>0.47210265997456147</v>
      </c>
      <c r="E21">
        <f>Zone!E21</f>
        <v>2.0531032620885488</v>
      </c>
    </row>
  </sheetData>
  <conditionalFormatting sqref="G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:E2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 filterMode="1"/>
  <dimension ref="A1:E23"/>
  <sheetViews>
    <sheetView workbookViewId="0">
      <selection activeCell="A23" sqref="A23"/>
    </sheetView>
  </sheetViews>
  <sheetFormatPr baseColWidth="10" defaultRowHeight="15" x14ac:dyDescent="0.25"/>
  <sheetData>
    <row r="1" spans="1:5" x14ac:dyDescent="0.25">
      <c r="A1" s="4" t="str">
        <f>Zone!A1</f>
        <v>ZoneA</v>
      </c>
      <c r="B1" s="4" t="str">
        <f>Zone!B1</f>
        <v>Zone B</v>
      </c>
      <c r="C1" s="4" t="str">
        <f>Zone!C1</f>
        <v>Zone C</v>
      </c>
      <c r="D1" s="4" t="str">
        <f>Zone!D1</f>
        <v>Zone D</v>
      </c>
      <c r="E1" s="4" t="str">
        <f>Zone!E1</f>
        <v>Zone E</v>
      </c>
    </row>
    <row r="2" spans="1:5" ht="15" hidden="1" customHeight="1" x14ac:dyDescent="0.25">
      <c r="A2" s="2">
        <f>Zone!A2</f>
        <v>3.7256642357577867</v>
      </c>
      <c r="B2">
        <f>Zone!B2</f>
        <v>2.4137014122299512</v>
      </c>
      <c r="C2">
        <f>Zone!C2</f>
        <v>2.9483925803838331</v>
      </c>
      <c r="D2" s="2">
        <f>Zone!D2</f>
        <v>4.1739169837021626</v>
      </c>
      <c r="E2">
        <f>Zone!E2</f>
        <v>1.9832099234295399</v>
      </c>
    </row>
    <row r="3" spans="1:5" ht="15" hidden="1" customHeight="1" x14ac:dyDescent="0.25">
      <c r="A3">
        <f>Zone!A3</f>
        <v>2.022815501124966</v>
      </c>
      <c r="B3">
        <f>Zone!B3</f>
        <v>2.8205031348194876</v>
      </c>
      <c r="C3">
        <f>Zone!C3</f>
        <v>2.7667081584741604</v>
      </c>
      <c r="D3">
        <f>Zone!D3</f>
        <v>2.0759504603947003</v>
      </c>
      <c r="E3">
        <f>Zone!E3</f>
        <v>1.871077964787927</v>
      </c>
    </row>
    <row r="4" spans="1:5" ht="15" hidden="1" customHeight="1" x14ac:dyDescent="0.25">
      <c r="A4">
        <f>Zone!A4</f>
        <v>1.0524954660427448</v>
      </c>
      <c r="B4" s="2">
        <f>Zone!B4</f>
        <v>3.5652233632736023</v>
      </c>
      <c r="C4">
        <f>Zone!C4</f>
        <v>1.4511764045879667</v>
      </c>
      <c r="D4">
        <f>Zone!D4</f>
        <v>2.0626346260137094</v>
      </c>
      <c r="E4">
        <f>Zone!E4</f>
        <v>2.3830841594167103</v>
      </c>
    </row>
    <row r="5" spans="1:5" ht="15" hidden="1" customHeight="1" x14ac:dyDescent="0.25">
      <c r="A5" s="2">
        <f>Zone!A5</f>
        <v>5.4192872754814463</v>
      </c>
      <c r="B5">
        <f>Zone!B5</f>
        <v>-0.36182077860307343</v>
      </c>
      <c r="C5">
        <f>Zone!C5</f>
        <v>2.9527610893913412</v>
      </c>
      <c r="D5">
        <f>Zone!D5</f>
        <v>1.8341423982540501</v>
      </c>
      <c r="E5">
        <f>Zone!E5</f>
        <v>1.9260387490340212</v>
      </c>
    </row>
    <row r="6" spans="1:5" x14ac:dyDescent="0.25">
      <c r="A6" s="2">
        <f>Zone!A6</f>
        <v>3.4672294700908628</v>
      </c>
      <c r="B6">
        <f>Zone!B6</f>
        <v>0.27851368457977788</v>
      </c>
      <c r="C6" s="2">
        <f>Zone!C6</f>
        <v>3.6642277792858002</v>
      </c>
      <c r="D6">
        <f>Zone!D6</f>
        <v>2.3077932495717843</v>
      </c>
      <c r="E6" s="2">
        <f>Zone!E6</f>
        <v>3.0554436905480218</v>
      </c>
    </row>
    <row r="7" spans="1:5" x14ac:dyDescent="0.25">
      <c r="A7">
        <f>Zone!A7</f>
        <v>2.4969501235423688</v>
      </c>
      <c r="B7">
        <f>Zone!B7</f>
        <v>2.8743007905340838</v>
      </c>
      <c r="C7" s="2">
        <f>Zone!C7</f>
        <v>3.6008049353909151</v>
      </c>
      <c r="D7">
        <f>Zone!D7</f>
        <v>1.5192087168496209</v>
      </c>
      <c r="E7" s="2">
        <f>Zone!E7</f>
        <v>4.7247467112566817</v>
      </c>
    </row>
    <row r="8" spans="1:5" ht="15" hidden="1" customHeight="1" x14ac:dyDescent="0.25">
      <c r="A8">
        <f>Zone!A8</f>
        <v>2.5531636799767976</v>
      </c>
      <c r="B8" s="2">
        <f>Zone!B8</f>
        <v>4.3861017546052743</v>
      </c>
      <c r="C8">
        <f>Zone!C8</f>
        <v>1.2714110296843359</v>
      </c>
      <c r="D8" s="2">
        <f>Zone!D8</f>
        <v>4.7233610434768831</v>
      </c>
      <c r="E8">
        <f>Zone!E8</f>
        <v>0.95832447319648262</v>
      </c>
    </row>
    <row r="9" spans="1:5" ht="15" hidden="1" customHeight="1" x14ac:dyDescent="0.25">
      <c r="A9">
        <f>Zone!A9</f>
        <v>1.3520263893393645</v>
      </c>
      <c r="B9" s="2">
        <f>Zone!B9</f>
        <v>3.0959086029659644</v>
      </c>
      <c r="C9" s="2">
        <f>Zone!C9</f>
        <v>4.1120273768929874</v>
      </c>
      <c r="D9">
        <f>Zone!D9</f>
        <v>0.32120544585633493</v>
      </c>
      <c r="E9">
        <f>Zone!E9</f>
        <v>2.1409314298837483</v>
      </c>
    </row>
    <row r="10" spans="1:5" x14ac:dyDescent="0.25">
      <c r="A10">
        <f>Zone!A10</f>
        <v>1.9715535379088278</v>
      </c>
      <c r="B10" s="2">
        <f>Zone!B10</f>
        <v>4.4180015014373462</v>
      </c>
      <c r="C10">
        <f>Zone!C10</f>
        <v>1.9469759979674781</v>
      </c>
      <c r="D10" s="2">
        <f>Zone!D10</f>
        <v>3.4297470434034913</v>
      </c>
      <c r="E10" s="2">
        <f>Zone!E10</f>
        <v>3.6481288120937552</v>
      </c>
    </row>
    <row r="11" spans="1:5" ht="15" hidden="1" customHeight="1" x14ac:dyDescent="0.25">
      <c r="A11" s="2">
        <f>Zone!A11</f>
        <v>4.1230445131669917</v>
      </c>
      <c r="B11">
        <f>Zone!B11</f>
        <v>2.1980203761131691</v>
      </c>
      <c r="C11">
        <f>Zone!C11</f>
        <v>1.8111439104938638</v>
      </c>
      <c r="D11">
        <f>Zone!D11</f>
        <v>2.8166188433304828</v>
      </c>
      <c r="E11">
        <f>Zone!E11</f>
        <v>1.3651109228159393</v>
      </c>
    </row>
    <row r="12" spans="1:5" x14ac:dyDescent="0.25">
      <c r="A12">
        <f>Zone!A12</f>
        <v>0.68745299725557463</v>
      </c>
      <c r="B12" s="2">
        <f>Zone!B12</f>
        <v>3.1656267793836772</v>
      </c>
      <c r="C12">
        <f>Zone!C12</f>
        <v>2.3347155483481732</v>
      </c>
      <c r="D12" s="2">
        <f>Zone!D12</f>
        <v>3.2431464177574241</v>
      </c>
      <c r="E12" s="2">
        <f>Zone!E12</f>
        <v>4.3085418899048795</v>
      </c>
    </row>
    <row r="13" spans="1:5" ht="15" hidden="1" customHeight="1" x14ac:dyDescent="0.25">
      <c r="A13">
        <f>Zone!A13</f>
        <v>1.7693206625034374</v>
      </c>
      <c r="B13" s="2">
        <f>Zone!B13</f>
        <v>4.7870490154336096</v>
      </c>
      <c r="C13">
        <f>Zone!C13</f>
        <v>1.0297422458274885</v>
      </c>
      <c r="D13">
        <f>Zone!D13</f>
        <v>0.5216581165766645</v>
      </c>
      <c r="E13">
        <f>Zone!E13</f>
        <v>2.1049706790223057</v>
      </c>
    </row>
    <row r="14" spans="1:5" ht="15" hidden="1" customHeight="1" x14ac:dyDescent="0.25">
      <c r="A14">
        <f>Zone!A14</f>
        <v>1.1813897705145358</v>
      </c>
      <c r="B14">
        <f>Zone!B14</f>
        <v>1.7794226058818552</v>
      </c>
      <c r="C14" s="2">
        <f>Zone!C14</f>
        <v>4.1155364104236849</v>
      </c>
      <c r="D14">
        <f>Zone!D14</f>
        <v>2.2176795695351141</v>
      </c>
      <c r="E14">
        <f>Zone!E14</f>
        <v>0.28634782144339632</v>
      </c>
    </row>
    <row r="15" spans="1:5" x14ac:dyDescent="0.25">
      <c r="A15">
        <f>Zone!A15</f>
        <v>0.67225230100045819</v>
      </c>
      <c r="B15">
        <f>Zone!B15</f>
        <v>2.1461522138097839</v>
      </c>
      <c r="C15">
        <f>Zone!C15</f>
        <v>2.4772210291376418</v>
      </c>
      <c r="D15">
        <f>Zone!D15</f>
        <v>1.6434557400322403</v>
      </c>
      <c r="E15" s="2">
        <f>Zone!E15</f>
        <v>4.4920770429999095</v>
      </c>
    </row>
    <row r="16" spans="1:5" ht="15" hidden="1" customHeight="1" x14ac:dyDescent="0.25">
      <c r="A16">
        <f>Zone!A16</f>
        <v>2.7409627818064166</v>
      </c>
      <c r="B16" s="2">
        <f>Zone!B16</f>
        <v>3.6417554704447808</v>
      </c>
      <c r="C16" s="2">
        <f>Zone!C16</f>
        <v>3.2721716221007058</v>
      </c>
      <c r="D16" s="2">
        <f>Zone!D16</f>
        <v>3.9256741578419749</v>
      </c>
      <c r="E16">
        <f>Zone!E16</f>
        <v>2.9552920134873064</v>
      </c>
    </row>
    <row r="17" spans="1:5" x14ac:dyDescent="0.25">
      <c r="A17">
        <f>Zone!A17</f>
        <v>2.962811409238447</v>
      </c>
      <c r="B17">
        <f>Zone!B17</f>
        <v>0.92058455878652834</v>
      </c>
      <c r="C17">
        <f>Zone!C17</f>
        <v>-0.84737226122611009</v>
      </c>
      <c r="D17" s="2">
        <f>Zone!D17</f>
        <v>5.4616179321218636</v>
      </c>
      <c r="E17" s="2">
        <f>Zone!E17</f>
        <v>3.0442208799809389</v>
      </c>
    </row>
    <row r="18" spans="1:5" ht="15" hidden="1" customHeight="1" x14ac:dyDescent="0.25">
      <c r="A18" s="2">
        <f>Zone!A18</f>
        <v>3.5286206172189396</v>
      </c>
      <c r="B18">
        <f>Zone!B18</f>
        <v>2.747930528978245</v>
      </c>
      <c r="C18" s="2">
        <f>Zone!C18</f>
        <v>5.2657809264820745</v>
      </c>
      <c r="D18" s="2">
        <f>Zone!D18</f>
        <v>3.2767209981154339</v>
      </c>
      <c r="E18">
        <f>Zone!E18</f>
        <v>1.1484423575551597</v>
      </c>
    </row>
    <row r="19" spans="1:5" ht="15" hidden="1" customHeight="1" x14ac:dyDescent="0.25">
      <c r="A19">
        <f>Zone!A19</f>
        <v>1.9019956661183675</v>
      </c>
      <c r="B19">
        <f>Zone!B19</f>
        <v>1.0453681702725737</v>
      </c>
      <c r="C19" s="2">
        <f>Zone!C19</f>
        <v>3.4142665350455634</v>
      </c>
      <c r="D19">
        <f>Zone!D19</f>
        <v>1.4487523577583344E-2</v>
      </c>
      <c r="E19">
        <f>Zone!E19</f>
        <v>1.8822647010704068</v>
      </c>
    </row>
    <row r="20" spans="1:5" ht="15" hidden="1" customHeight="1" x14ac:dyDescent="0.25">
      <c r="A20" s="2">
        <f>Zone!A20</f>
        <v>3.1514402150388876</v>
      </c>
      <c r="B20" s="2">
        <f>Zone!B20</f>
        <v>4.5444856009559746</v>
      </c>
      <c r="C20">
        <f>Zone!C20</f>
        <v>1.4701666042188457</v>
      </c>
      <c r="D20" s="2">
        <f>Zone!D20</f>
        <v>4.8117166849142317</v>
      </c>
      <c r="E20">
        <f>Zone!E20</f>
        <v>2.013618625221075</v>
      </c>
    </row>
    <row r="21" spans="1:5" ht="15" hidden="1" customHeight="1" x14ac:dyDescent="0.25">
      <c r="A21">
        <f>Zone!A21</f>
        <v>0.45246067042608756</v>
      </c>
      <c r="B21">
        <f>Zone!B21</f>
        <v>2.5016483353282704</v>
      </c>
      <c r="C21" s="2">
        <f>Zone!C21</f>
        <v>3.3947584178554155</v>
      </c>
      <c r="D21">
        <f>Zone!D21</f>
        <v>0.47210265997456147</v>
      </c>
      <c r="E21">
        <f>Zone!E21</f>
        <v>2.0531032620885488</v>
      </c>
    </row>
    <row r="23" spans="1:5" x14ac:dyDescent="0.25">
      <c r="A23">
        <v>36</v>
      </c>
    </row>
  </sheetData>
  <autoFilter ref="A1:E21">
    <filterColumn colId="4">
      <colorFilter dxfId="0"/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E23"/>
  <sheetViews>
    <sheetView topLeftCell="A2" workbookViewId="0">
      <selection activeCell="A23" sqref="A23"/>
    </sheetView>
  </sheetViews>
  <sheetFormatPr baseColWidth="10" defaultRowHeight="15" x14ac:dyDescent="0.25"/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f>A!I2</f>
        <v>3.7256642357577867</v>
      </c>
      <c r="B2">
        <f>B!I2</f>
        <v>2.4137014122299512</v>
      </c>
      <c r="C2">
        <f>'C'!I2</f>
        <v>2.9483925803838331</v>
      </c>
      <c r="D2">
        <f>D!I2</f>
        <v>4.1739169837021626</v>
      </c>
      <c r="E2">
        <f>E!I2</f>
        <v>1.9832099234295399</v>
      </c>
    </row>
    <row r="3" spans="1:5" x14ac:dyDescent="0.25">
      <c r="A3">
        <f>A!I3</f>
        <v>2.022815501124966</v>
      </c>
      <c r="B3">
        <f>B!I3</f>
        <v>2.8205031348194876</v>
      </c>
      <c r="C3">
        <f>'C'!I3</f>
        <v>2.7667081584741604</v>
      </c>
      <c r="D3">
        <f>D!I3</f>
        <v>2.0759504603947003</v>
      </c>
      <c r="E3">
        <f>E!I3</f>
        <v>1.871077964787927</v>
      </c>
    </row>
    <row r="4" spans="1:5" x14ac:dyDescent="0.25">
      <c r="A4" s="3">
        <f>A!I4</f>
        <v>1.0524954660427448</v>
      </c>
      <c r="B4">
        <f>B!I4</f>
        <v>3.5652233632736023</v>
      </c>
      <c r="C4" s="3">
        <f>'C'!I4</f>
        <v>1.4511764045879667</v>
      </c>
      <c r="D4">
        <f>D!I4</f>
        <v>2.0626346260137094</v>
      </c>
      <c r="E4">
        <f>E!I4</f>
        <v>2.3830841594167103</v>
      </c>
    </row>
    <row r="5" spans="1:5" x14ac:dyDescent="0.25">
      <c r="A5">
        <f>A!I5</f>
        <v>5.4192872754814463</v>
      </c>
      <c r="B5" s="5">
        <f>B!I5</f>
        <v>-0.36182077860307343</v>
      </c>
      <c r="C5">
        <f>'C'!I5</f>
        <v>2.9527610893913412</v>
      </c>
      <c r="D5">
        <f>D!I5</f>
        <v>1.8341423982540501</v>
      </c>
      <c r="E5">
        <f>E!I5</f>
        <v>1.9260387490340212</v>
      </c>
    </row>
    <row r="6" spans="1:5" x14ac:dyDescent="0.25">
      <c r="A6">
        <f>A!I6</f>
        <v>3.4672294700908628</v>
      </c>
      <c r="B6" s="5">
        <f>B!I6</f>
        <v>0.27851368457977788</v>
      </c>
      <c r="C6">
        <f>'C'!I6</f>
        <v>3.6642277792858002</v>
      </c>
      <c r="D6">
        <f>D!I6</f>
        <v>2.3077932495717843</v>
      </c>
      <c r="E6">
        <f>E!I6</f>
        <v>3.0554436905480218</v>
      </c>
    </row>
    <row r="7" spans="1:5" x14ac:dyDescent="0.25">
      <c r="A7">
        <f>A!I7</f>
        <v>2.4969501235423688</v>
      </c>
      <c r="B7">
        <f>B!I7</f>
        <v>2.8743007905340838</v>
      </c>
      <c r="C7">
        <f>'C'!I7</f>
        <v>3.6008049353909151</v>
      </c>
      <c r="D7">
        <f>D!I7</f>
        <v>1.5192087168496209</v>
      </c>
      <c r="E7">
        <f>E!I7</f>
        <v>4.7247467112566817</v>
      </c>
    </row>
    <row r="8" spans="1:5" x14ac:dyDescent="0.25">
      <c r="A8">
        <f>A!I8</f>
        <v>2.5531636799767976</v>
      </c>
      <c r="B8">
        <f>B!I8</f>
        <v>4.3861017546052743</v>
      </c>
      <c r="C8" s="3">
        <f>'C'!I8</f>
        <v>1.2714110296843359</v>
      </c>
      <c r="D8">
        <f>D!I8</f>
        <v>4.7233610434768831</v>
      </c>
      <c r="E8" s="3">
        <f>E!I8</f>
        <v>0.95832447319648262</v>
      </c>
    </row>
    <row r="9" spans="1:5" x14ac:dyDescent="0.25">
      <c r="A9" s="3">
        <f>A!I9</f>
        <v>1.3520263893393645</v>
      </c>
      <c r="B9">
        <f>B!I9</f>
        <v>3.0959086029659644</v>
      </c>
      <c r="C9">
        <f>'C'!I9</f>
        <v>4.1120273768929874</v>
      </c>
      <c r="D9" s="3">
        <f>D!I9</f>
        <v>0.32120544585633493</v>
      </c>
      <c r="E9">
        <f>E!I9</f>
        <v>2.1409314298837483</v>
      </c>
    </row>
    <row r="10" spans="1:5" x14ac:dyDescent="0.25">
      <c r="A10">
        <f>A!I10</f>
        <v>1.9715535379088278</v>
      </c>
      <c r="B10">
        <f>B!I10</f>
        <v>4.4180015014373462</v>
      </c>
      <c r="C10">
        <f>'C'!I10</f>
        <v>1.9469759979674781</v>
      </c>
      <c r="D10">
        <f>D!I10</f>
        <v>3.4297470434034913</v>
      </c>
      <c r="E10">
        <f>E!I10</f>
        <v>3.6481288120937552</v>
      </c>
    </row>
    <row r="11" spans="1:5" x14ac:dyDescent="0.25">
      <c r="A11">
        <f>A!I11</f>
        <v>4.1230445131669917</v>
      </c>
      <c r="B11">
        <f>B!I11</f>
        <v>2.1980203761131691</v>
      </c>
      <c r="C11">
        <f>'C'!I11</f>
        <v>1.8111439104938638</v>
      </c>
      <c r="D11">
        <f>D!I11</f>
        <v>2.8166188433304828</v>
      </c>
      <c r="E11" s="3">
        <f>E!I11</f>
        <v>1.3651109228159393</v>
      </c>
    </row>
    <row r="12" spans="1:5" x14ac:dyDescent="0.25">
      <c r="A12" s="3">
        <f>A!I12</f>
        <v>0.68745299725557463</v>
      </c>
      <c r="B12">
        <f>B!I12</f>
        <v>3.1656267793836772</v>
      </c>
      <c r="C12">
        <f>'C'!I12</f>
        <v>2.3347155483481732</v>
      </c>
      <c r="D12">
        <f>D!I12</f>
        <v>3.2431464177574241</v>
      </c>
      <c r="E12">
        <f>E!I12</f>
        <v>4.3085418899048795</v>
      </c>
    </row>
    <row r="13" spans="1:5" x14ac:dyDescent="0.25">
      <c r="A13" s="3">
        <f>A!I13</f>
        <v>1.7693206625034374</v>
      </c>
      <c r="B13">
        <f>B!I13</f>
        <v>4.7870490154336096</v>
      </c>
      <c r="C13" s="3">
        <f>'C'!I13</f>
        <v>1.0297422458274885</v>
      </c>
      <c r="D13" s="3">
        <f>D!I13</f>
        <v>0.5216581165766645</v>
      </c>
      <c r="E13">
        <f>E!I13</f>
        <v>2.1049706790223057</v>
      </c>
    </row>
    <row r="14" spans="1:5" x14ac:dyDescent="0.25">
      <c r="A14" s="3">
        <f>A!I14</f>
        <v>1.1813897705145358</v>
      </c>
      <c r="B14" s="5">
        <f>B!I14</f>
        <v>1.7794226058818552</v>
      </c>
      <c r="C14">
        <f>'C'!I14</f>
        <v>4.1155364104236849</v>
      </c>
      <c r="D14">
        <f>D!I14</f>
        <v>2.2176795695351141</v>
      </c>
      <c r="E14" s="3">
        <f>E!I14</f>
        <v>0.28634782144339632</v>
      </c>
    </row>
    <row r="15" spans="1:5" x14ac:dyDescent="0.25">
      <c r="A15" s="3">
        <f>A!I15</f>
        <v>0.67225230100045819</v>
      </c>
      <c r="B15">
        <f>B!I15</f>
        <v>2.1461522138097839</v>
      </c>
      <c r="C15">
        <f>'C'!I15</f>
        <v>2.4772210291376418</v>
      </c>
      <c r="D15">
        <f>D!I15</f>
        <v>1.6434557400322403</v>
      </c>
      <c r="E15">
        <f>E!I15</f>
        <v>4.4920770429999095</v>
      </c>
    </row>
    <row r="16" spans="1:5" x14ac:dyDescent="0.25">
      <c r="A16">
        <f>A!I16</f>
        <v>2.7409627818064166</v>
      </c>
      <c r="B16">
        <f>B!I16</f>
        <v>3.6417554704447808</v>
      </c>
      <c r="C16">
        <f>'C'!I16</f>
        <v>3.2721716221007058</v>
      </c>
      <c r="D16">
        <f>D!I16</f>
        <v>3.9256741578419749</v>
      </c>
      <c r="E16">
        <f>E!I16</f>
        <v>2.9552920134873064</v>
      </c>
    </row>
    <row r="17" spans="1:5" x14ac:dyDescent="0.25">
      <c r="A17">
        <f>A!I17</f>
        <v>2.962811409238447</v>
      </c>
      <c r="B17" s="5">
        <f>B!I17</f>
        <v>0.92058455878652834</v>
      </c>
      <c r="C17" s="3">
        <f>'C'!I17</f>
        <v>-0.84737226122611009</v>
      </c>
      <c r="D17">
        <f>D!I17</f>
        <v>5.4616179321218636</v>
      </c>
      <c r="E17">
        <f>E!I17</f>
        <v>3.0442208799809389</v>
      </c>
    </row>
    <row r="18" spans="1:5" x14ac:dyDescent="0.25">
      <c r="A18">
        <f>A!I18</f>
        <v>3.5286206172189396</v>
      </c>
      <c r="B18">
        <f>B!I18</f>
        <v>2.747930528978245</v>
      </c>
      <c r="C18">
        <f>'C'!I18</f>
        <v>5.2657809264820745</v>
      </c>
      <c r="D18">
        <f>D!I18</f>
        <v>3.2767209981154339</v>
      </c>
      <c r="E18" s="3">
        <f>E!I18</f>
        <v>1.1484423575551597</v>
      </c>
    </row>
    <row r="19" spans="1:5" x14ac:dyDescent="0.25">
      <c r="A19">
        <f>A!I19</f>
        <v>1.9019956661183675</v>
      </c>
      <c r="B19" s="5">
        <f>B!I19</f>
        <v>1.0453681702725737</v>
      </c>
      <c r="C19">
        <f>'C'!I19</f>
        <v>3.4142665350455634</v>
      </c>
      <c r="D19" s="3">
        <f>D!I19</f>
        <v>1.4487523577583344E-2</v>
      </c>
      <c r="E19">
        <f>E!I19</f>
        <v>1.8822647010704068</v>
      </c>
    </row>
    <row r="20" spans="1:5" x14ac:dyDescent="0.25">
      <c r="A20">
        <f>A!I20</f>
        <v>3.1514402150388876</v>
      </c>
      <c r="B20">
        <f>B!I20</f>
        <v>4.5444856009559746</v>
      </c>
      <c r="C20" s="3">
        <f>'C'!I20</f>
        <v>1.4701666042188457</v>
      </c>
      <c r="D20">
        <f>D!I20</f>
        <v>4.8117166849142317</v>
      </c>
      <c r="E20">
        <f>E!I20</f>
        <v>2.013618625221075</v>
      </c>
    </row>
    <row r="21" spans="1:5" x14ac:dyDescent="0.25">
      <c r="A21" s="3">
        <f>A!I21</f>
        <v>0.45246067042608756</v>
      </c>
      <c r="B21">
        <f>B!I21</f>
        <v>2.5016483353282704</v>
      </c>
      <c r="C21">
        <f>'C'!I21</f>
        <v>3.3947584178554155</v>
      </c>
      <c r="D21" s="3">
        <f>D!I21</f>
        <v>0.47210265997456147</v>
      </c>
      <c r="E21">
        <f>E!I21</f>
        <v>2.0531032620885488</v>
      </c>
    </row>
    <row r="23" spans="1:5" x14ac:dyDescent="0.25">
      <c r="A23">
        <v>27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3"/>
  <sheetViews>
    <sheetView workbookViewId="0">
      <selection activeCell="B14" sqref="B14"/>
    </sheetView>
  </sheetViews>
  <sheetFormatPr baseColWidth="10" defaultRowHeight="15" x14ac:dyDescent="0.25"/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f>A!I2</f>
        <v>3.7256642357577867</v>
      </c>
      <c r="B2">
        <f>B!I2</f>
        <v>2.4137014122299512</v>
      </c>
      <c r="C2">
        <f>'C'!I2</f>
        <v>2.9483925803838331</v>
      </c>
      <c r="D2">
        <f>D!I2</f>
        <v>4.1739169837021626</v>
      </c>
      <c r="E2">
        <f>E!I2</f>
        <v>1.9832099234295399</v>
      </c>
    </row>
    <row r="3" spans="1:5" x14ac:dyDescent="0.25">
      <c r="A3">
        <f>A!I3</f>
        <v>2.022815501124966</v>
      </c>
      <c r="B3">
        <f>B!I3</f>
        <v>2.8205031348194876</v>
      </c>
      <c r="C3">
        <f>'C'!I3</f>
        <v>2.7667081584741604</v>
      </c>
      <c r="D3">
        <f>D!I3</f>
        <v>2.0759504603947003</v>
      </c>
      <c r="E3">
        <f>E!I3</f>
        <v>1.871077964787927</v>
      </c>
    </row>
    <row r="4" spans="1:5" x14ac:dyDescent="0.25">
      <c r="A4" s="7">
        <f>A!I4</f>
        <v>1.0524954660427448</v>
      </c>
      <c r="B4">
        <f>B!I4</f>
        <v>3.5652233632736023</v>
      </c>
      <c r="C4" s="6">
        <f>'C'!I4</f>
        <v>1.4511764045879667</v>
      </c>
      <c r="D4">
        <f>D!I4</f>
        <v>2.0626346260137094</v>
      </c>
      <c r="E4">
        <f>E!I4</f>
        <v>2.3830841594167103</v>
      </c>
    </row>
    <row r="5" spans="1:5" x14ac:dyDescent="0.25">
      <c r="A5">
        <f>A!I5</f>
        <v>5.4192872754814463</v>
      </c>
      <c r="B5" s="6">
        <f>B!I5</f>
        <v>-0.36182077860307343</v>
      </c>
      <c r="C5">
        <f>'C'!I5</f>
        <v>2.9527610893913412</v>
      </c>
      <c r="D5">
        <f>D!I5</f>
        <v>1.8341423982540501</v>
      </c>
      <c r="E5">
        <f>E!I5</f>
        <v>1.9260387490340212</v>
      </c>
    </row>
    <row r="6" spans="1:5" x14ac:dyDescent="0.25">
      <c r="A6">
        <f>A!I6</f>
        <v>3.4672294700908628</v>
      </c>
      <c r="B6" s="6">
        <f>B!I6</f>
        <v>0.27851368457977788</v>
      </c>
      <c r="C6">
        <f>'C'!I6</f>
        <v>3.6642277792858002</v>
      </c>
      <c r="D6">
        <f>D!I6</f>
        <v>2.3077932495717843</v>
      </c>
      <c r="E6">
        <f>E!I6</f>
        <v>3.0554436905480218</v>
      </c>
    </row>
    <row r="7" spans="1:5" x14ac:dyDescent="0.25">
      <c r="A7">
        <f>A!I7</f>
        <v>2.4969501235423688</v>
      </c>
      <c r="B7">
        <f>B!I7</f>
        <v>2.8743007905340838</v>
      </c>
      <c r="C7">
        <f>'C'!I7</f>
        <v>3.6008049353909151</v>
      </c>
      <c r="D7" s="6">
        <f>D!I7</f>
        <v>1.5192087168496209</v>
      </c>
      <c r="E7">
        <f>E!I7</f>
        <v>4.7247467112566817</v>
      </c>
    </row>
    <row r="8" spans="1:5" x14ac:dyDescent="0.25">
      <c r="A8">
        <f>A!I8</f>
        <v>2.5531636799767976</v>
      </c>
      <c r="B8">
        <f>B!I8</f>
        <v>4.3861017546052743</v>
      </c>
      <c r="C8" s="6">
        <f>'C'!I8</f>
        <v>1.2714110296843359</v>
      </c>
      <c r="D8">
        <f>D!I8</f>
        <v>4.7233610434768831</v>
      </c>
      <c r="E8" s="6">
        <f>E!I8</f>
        <v>0.95832447319648262</v>
      </c>
    </row>
    <row r="9" spans="1:5" x14ac:dyDescent="0.25">
      <c r="A9" s="7">
        <f>A!I9</f>
        <v>1.3520263893393645</v>
      </c>
      <c r="B9">
        <f>B!I9</f>
        <v>3.0959086029659644</v>
      </c>
      <c r="C9">
        <f>'C'!I9</f>
        <v>4.1120273768929874</v>
      </c>
      <c r="D9" s="6">
        <f>D!I9</f>
        <v>0.32120544585633493</v>
      </c>
      <c r="E9">
        <f>E!I9</f>
        <v>2.1409314298837483</v>
      </c>
    </row>
    <row r="10" spans="1:5" x14ac:dyDescent="0.25">
      <c r="A10">
        <f>A!I10</f>
        <v>1.9715535379088278</v>
      </c>
      <c r="B10">
        <f>B!I10</f>
        <v>4.4180015014373462</v>
      </c>
      <c r="C10">
        <f>'C'!I10</f>
        <v>1.9469759979674781</v>
      </c>
      <c r="D10">
        <f>D!I10</f>
        <v>3.4297470434034913</v>
      </c>
      <c r="E10">
        <f>E!I10</f>
        <v>3.6481288120937552</v>
      </c>
    </row>
    <row r="11" spans="1:5" x14ac:dyDescent="0.25">
      <c r="A11">
        <f>A!I11</f>
        <v>4.1230445131669917</v>
      </c>
      <c r="B11">
        <f>B!I11</f>
        <v>2.1980203761131691</v>
      </c>
      <c r="C11">
        <f>'C'!I11</f>
        <v>1.8111439104938638</v>
      </c>
      <c r="D11">
        <f>D!I11</f>
        <v>2.8166188433304828</v>
      </c>
      <c r="E11" s="6">
        <f>E!I11</f>
        <v>1.3651109228159393</v>
      </c>
    </row>
    <row r="12" spans="1:5" x14ac:dyDescent="0.25">
      <c r="A12" s="7">
        <f>A!I12</f>
        <v>0.68745299725557463</v>
      </c>
      <c r="B12">
        <f>B!I12</f>
        <v>3.1656267793836772</v>
      </c>
      <c r="C12">
        <f>'C'!I12</f>
        <v>2.3347155483481732</v>
      </c>
      <c r="D12">
        <f>D!I12</f>
        <v>3.2431464177574241</v>
      </c>
      <c r="E12">
        <f>E!I12</f>
        <v>4.3085418899048795</v>
      </c>
    </row>
    <row r="13" spans="1:5" x14ac:dyDescent="0.25">
      <c r="A13" s="7">
        <f>A!I13</f>
        <v>1.7693206625034374</v>
      </c>
      <c r="B13">
        <f>B!I13</f>
        <v>4.7870490154336096</v>
      </c>
      <c r="C13" s="6">
        <f>'C'!I13</f>
        <v>1.0297422458274885</v>
      </c>
      <c r="D13" s="6">
        <f>D!I13</f>
        <v>0.5216581165766645</v>
      </c>
      <c r="E13">
        <f>E!I13</f>
        <v>2.1049706790223057</v>
      </c>
    </row>
    <row r="14" spans="1:5" x14ac:dyDescent="0.25">
      <c r="A14" s="7">
        <f>A!I14</f>
        <v>1.1813897705145358</v>
      </c>
      <c r="B14" s="6">
        <f>B!I14</f>
        <v>1.7794226058818552</v>
      </c>
      <c r="C14">
        <f>'C'!I14</f>
        <v>4.1155364104236849</v>
      </c>
      <c r="D14">
        <f>D!I14</f>
        <v>2.2176795695351141</v>
      </c>
      <c r="E14" s="6">
        <f>E!I14</f>
        <v>0.28634782144339632</v>
      </c>
    </row>
    <row r="15" spans="1:5" x14ac:dyDescent="0.25">
      <c r="A15" s="7">
        <f>A!I15</f>
        <v>0.67225230100045819</v>
      </c>
      <c r="B15">
        <f>B!I15</f>
        <v>2.1461522138097839</v>
      </c>
      <c r="C15">
        <f>'C'!I15</f>
        <v>2.4772210291376418</v>
      </c>
      <c r="D15" s="6">
        <f>D!I15</f>
        <v>1.6434557400322403</v>
      </c>
      <c r="E15">
        <f>E!I15</f>
        <v>4.4920770429999095</v>
      </c>
    </row>
    <row r="16" spans="1:5" x14ac:dyDescent="0.25">
      <c r="A16">
        <f>A!I16</f>
        <v>2.7409627818064166</v>
      </c>
      <c r="B16">
        <f>B!I16</f>
        <v>3.6417554704447808</v>
      </c>
      <c r="C16">
        <f>'C'!I16</f>
        <v>3.2721716221007058</v>
      </c>
      <c r="D16">
        <f>D!I16</f>
        <v>3.9256741578419749</v>
      </c>
      <c r="E16">
        <f>E!I16</f>
        <v>2.9552920134873064</v>
      </c>
    </row>
    <row r="17" spans="1:5" x14ac:dyDescent="0.25">
      <c r="A17">
        <f>A!I17</f>
        <v>2.962811409238447</v>
      </c>
      <c r="B17" s="6">
        <f>B!I17</f>
        <v>0.92058455878652834</v>
      </c>
      <c r="C17" s="6">
        <f>'C'!I17</f>
        <v>-0.84737226122611009</v>
      </c>
      <c r="D17">
        <f>D!I17</f>
        <v>5.4616179321218636</v>
      </c>
      <c r="E17">
        <f>E!I17</f>
        <v>3.0442208799809389</v>
      </c>
    </row>
    <row r="18" spans="1:5" x14ac:dyDescent="0.25">
      <c r="A18">
        <f>A!I18</f>
        <v>3.5286206172189396</v>
      </c>
      <c r="B18">
        <f>B!I18</f>
        <v>2.747930528978245</v>
      </c>
      <c r="C18">
        <f>'C'!I18</f>
        <v>5.2657809264820745</v>
      </c>
      <c r="D18">
        <f>D!I18</f>
        <v>3.2767209981154339</v>
      </c>
      <c r="E18" s="6">
        <f>E!I18</f>
        <v>1.1484423575551597</v>
      </c>
    </row>
    <row r="19" spans="1:5" x14ac:dyDescent="0.25">
      <c r="A19">
        <f>A!I19</f>
        <v>1.9019956661183675</v>
      </c>
      <c r="B19" s="6">
        <f>B!I19</f>
        <v>1.0453681702725737</v>
      </c>
      <c r="C19">
        <f>'C'!I19</f>
        <v>3.4142665350455634</v>
      </c>
      <c r="D19" s="6">
        <f>D!I19</f>
        <v>1.4487523577583344E-2</v>
      </c>
      <c r="E19">
        <f>E!I19</f>
        <v>1.8822647010704068</v>
      </c>
    </row>
    <row r="20" spans="1:5" x14ac:dyDescent="0.25">
      <c r="A20">
        <f>A!I20</f>
        <v>3.1514402150388876</v>
      </c>
      <c r="B20">
        <f>B!I20</f>
        <v>4.5444856009559746</v>
      </c>
      <c r="C20" s="6">
        <f>'C'!I20</f>
        <v>1.4701666042188457</v>
      </c>
      <c r="D20">
        <f>D!I20</f>
        <v>4.8117166849142317</v>
      </c>
      <c r="E20">
        <f>E!I20</f>
        <v>2.013618625221075</v>
      </c>
    </row>
    <row r="21" spans="1:5" x14ac:dyDescent="0.25">
      <c r="A21" s="7">
        <f>A!I21</f>
        <v>0.45246067042608756</v>
      </c>
      <c r="B21">
        <f>B!I21</f>
        <v>2.5016483353282704</v>
      </c>
      <c r="C21">
        <f>'C'!I21</f>
        <v>3.3947584178554155</v>
      </c>
      <c r="D21" s="6">
        <f>D!I21</f>
        <v>0.47210265997456147</v>
      </c>
      <c r="E21">
        <f>E!I21</f>
        <v>2.0531032620885488</v>
      </c>
    </row>
    <row r="23" spans="1:5" x14ac:dyDescent="0.25">
      <c r="A23">
        <v>37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workbookViewId="0">
      <selection activeCell="N10" sqref="N10"/>
    </sheetView>
  </sheetViews>
  <sheetFormatPr baseColWidth="10" defaultRowHeight="15" x14ac:dyDescent="0.25"/>
  <sheetData>
    <row r="1" spans="1:4" x14ac:dyDescent="0.25">
      <c r="A1" t="s">
        <v>13</v>
      </c>
      <c r="B1" t="s">
        <v>14</v>
      </c>
      <c r="C1" t="s">
        <v>15</v>
      </c>
    </row>
    <row r="2" spans="1:4" x14ac:dyDescent="0.25">
      <c r="A2">
        <v>36</v>
      </c>
      <c r="B2">
        <v>37</v>
      </c>
      <c r="C2">
        <v>27</v>
      </c>
    </row>
    <row r="7" spans="1:4" x14ac:dyDescent="0.25">
      <c r="D7" s="8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workbookViewId="0">
      <selection activeCell="I12" sqref="I12"/>
    </sheetView>
  </sheetViews>
  <sheetFormatPr baseColWidth="10" defaultRowHeight="15" x14ac:dyDescent="0.25"/>
  <sheetData>
    <row r="1" spans="1:7" x14ac:dyDescent="0.25">
      <c r="A1" t="str">
        <f>B!A1</f>
        <v>CC</v>
      </c>
      <c r="B1" t="str">
        <f>B!B1</f>
        <v>PR</v>
      </c>
      <c r="C1" t="str">
        <f>B!C1</f>
        <v>TA</v>
      </c>
      <c r="D1" t="str">
        <f>B!D1</f>
        <v>PFI</v>
      </c>
      <c r="E1" t="str">
        <f>B!E1</f>
        <v>CB</v>
      </c>
      <c r="F1" t="str">
        <f>B!F1</f>
        <v>VCP</v>
      </c>
      <c r="G1" t="str">
        <f>B!G1</f>
        <v>V</v>
      </c>
    </row>
    <row r="2" spans="1:7" x14ac:dyDescent="0.25">
      <c r="A2">
        <v>9684313</v>
      </c>
      <c r="B2">
        <f>B!B14</f>
        <v>4759231</v>
      </c>
      <c r="C2">
        <v>22248542</v>
      </c>
      <c r="D2">
        <f>B!D14</f>
        <v>4659231</v>
      </c>
      <c r="E2">
        <f>B!E14</f>
        <v>344243</v>
      </c>
      <c r="F2">
        <f>B!F14</f>
        <v>12564229</v>
      </c>
      <c r="G2">
        <f>B!G14</f>
        <v>5569819</v>
      </c>
    </row>
    <row r="3" spans="1:7" x14ac:dyDescent="0.25">
      <c r="A3">
        <f>E!A17</f>
        <v>-12912119</v>
      </c>
      <c r="B3">
        <f>E!B17</f>
        <v>8507030</v>
      </c>
      <c r="C3">
        <f>E!C17</f>
        <v>11007748</v>
      </c>
      <c r="D3">
        <f>E!D17</f>
        <v>8407030</v>
      </c>
      <c r="E3">
        <f>E!E17</f>
        <v>481935</v>
      </c>
      <c r="F3">
        <f>E!F17</f>
        <v>23919867</v>
      </c>
      <c r="G3">
        <f>E!G17</f>
        <v>9227676</v>
      </c>
    </row>
  </sheetData>
  <scenarios current="1">
    <scenario name="solver2.99" count="2" user="hp" comment="Créé par hp le 3/1/2020">
      <inputCells r="A2" val="9684313"/>
      <inputCells r="C2" val="22248542"/>
    </scenario>
    <scenario name="sover1" count="2" user="hp" comment="Créé par hp le 3/1/2020">
      <inputCells r="A2" val="9684313"/>
      <inputCells r="C2" val="22248542"/>
    </scenario>
  </scenario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A</vt:lpstr>
      <vt:lpstr>B</vt:lpstr>
      <vt:lpstr>C</vt:lpstr>
      <vt:lpstr>D</vt:lpstr>
      <vt:lpstr>E</vt:lpstr>
      <vt:lpstr>Zone</vt:lpstr>
      <vt:lpstr>Heatmap </vt:lpstr>
      <vt:lpstr>dossiers acceptés</vt:lpstr>
      <vt:lpstr>rejetés</vt:lpstr>
      <vt:lpstr>incertitude</vt:lpstr>
      <vt:lpstr>Diagramme circulaire</vt:lpstr>
      <vt:lpstr>solver</vt:lpstr>
      <vt:lpstr>Feuil6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Sokhna</dc:creator>
  <cp:lastModifiedBy>hp</cp:lastModifiedBy>
  <dcterms:created xsi:type="dcterms:W3CDTF">2020-02-19T21:19:23Z</dcterms:created>
  <dcterms:modified xsi:type="dcterms:W3CDTF">2020-03-01T03:27:17Z</dcterms:modified>
</cp:coreProperties>
</file>